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esktop\"/>
    </mc:Choice>
  </mc:AlternateContent>
  <bookViews>
    <workbookView xWindow="0" yWindow="0" windowWidth="19200" windowHeight="6930" firstSheet="1" activeTab="1"/>
  </bookViews>
  <sheets>
    <sheet name="pivot_status_summary" sheetId="3" r:id="rId1"/>
    <sheet name="Dashboard" sheetId="8" r:id="rId2"/>
    <sheet name="pivot_headcount_department" sheetId="4" r:id="rId3"/>
    <sheet name="pivot_department_status" sheetId="5" r:id="rId4"/>
    <sheet name="pivot_avg_Tenure_department" sheetId="6" r:id="rId5"/>
    <sheet name="pivot_avg_salary_department" sheetId="7" r:id="rId6"/>
    <sheet name="hr_workforce_dataset (1)" sheetId="1" r:id="rId7"/>
  </sheets>
  <definedNames>
    <definedName name="Slicer_Department">#N/A</definedName>
    <definedName name="Slicer_Employment_Type">#N/A</definedName>
    <definedName name="Slicer_Gender">#N/A</definedName>
    <definedName name="Slicer_Status">#N/A</definedName>
  </definedNames>
  <calcPr calcId="162913"/>
  <pivotCaches>
    <pivotCache cacheId="1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2" i="1"/>
  <c r="N10" i="1"/>
  <c r="N11" i="1"/>
  <c r="N12" i="1"/>
  <c r="N13" i="1"/>
  <c r="N14" i="1"/>
  <c r="N15" i="1"/>
  <c r="N16" i="1"/>
  <c r="N17" i="1"/>
  <c r="N18" i="1"/>
  <c r="N19" i="1"/>
  <c r="N3" i="1"/>
  <c r="N4" i="1"/>
  <c r="N5" i="1"/>
  <c r="N6" i="1"/>
  <c r="N7" i="1"/>
  <c r="N8" i="1"/>
  <c r="N9" i="1"/>
  <c r="N2"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M9" i="1"/>
  <c r="M11" i="1"/>
  <c r="M12" i="1"/>
  <c r="M21" i="1"/>
  <c r="M23" i="1"/>
  <c r="M24" i="1"/>
  <c r="M33" i="1"/>
  <c r="M35" i="1"/>
  <c r="M36" i="1"/>
  <c r="M45" i="1"/>
  <c r="M47" i="1"/>
  <c r="M48" i="1"/>
  <c r="M57" i="1"/>
  <c r="M59" i="1"/>
  <c r="M60" i="1"/>
  <c r="M69" i="1"/>
  <c r="M71" i="1"/>
  <c r="M72" i="1"/>
  <c r="M81" i="1"/>
  <c r="M83" i="1"/>
  <c r="M84" i="1"/>
  <c r="M93" i="1"/>
  <c r="M95" i="1"/>
  <c r="M96" i="1"/>
  <c r="M105" i="1"/>
  <c r="M107" i="1"/>
  <c r="M108" i="1"/>
  <c r="M117" i="1"/>
  <c r="M119" i="1"/>
  <c r="M120" i="1"/>
  <c r="M129" i="1"/>
  <c r="M131" i="1"/>
  <c r="M132" i="1"/>
  <c r="M141" i="1"/>
  <c r="M143" i="1"/>
  <c r="M144" i="1"/>
  <c r="M153" i="1"/>
  <c r="M155" i="1"/>
  <c r="M156" i="1"/>
  <c r="M165" i="1"/>
  <c r="M167" i="1"/>
  <c r="M168" i="1"/>
  <c r="M177" i="1"/>
  <c r="M179" i="1"/>
  <c r="M180" i="1"/>
  <c r="M189" i="1"/>
  <c r="M191" i="1"/>
  <c r="M192" i="1"/>
  <c r="M201" i="1"/>
  <c r="M203" i="1"/>
  <c r="M204" i="1"/>
  <c r="M213" i="1"/>
  <c r="M215" i="1"/>
  <c r="M216" i="1"/>
  <c r="M225" i="1"/>
  <c r="M227" i="1"/>
  <c r="M228" i="1"/>
  <c r="M237" i="1"/>
  <c r="M239" i="1"/>
  <c r="M240" i="1"/>
  <c r="M249" i="1"/>
  <c r="M251" i="1"/>
  <c r="M252" i="1"/>
  <c r="M261" i="1"/>
  <c r="M263" i="1"/>
  <c r="M264" i="1"/>
  <c r="M273" i="1"/>
  <c r="M275" i="1"/>
  <c r="M276" i="1"/>
  <c r="M285" i="1"/>
  <c r="M287" i="1"/>
  <c r="M288" i="1"/>
  <c r="M297" i="1"/>
  <c r="M299" i="1"/>
  <c r="M300" i="1"/>
  <c r="M309" i="1"/>
  <c r="M311" i="1"/>
  <c r="M312" i="1"/>
  <c r="M321" i="1"/>
  <c r="M323" i="1"/>
  <c r="M324" i="1"/>
  <c r="M333" i="1"/>
  <c r="M335" i="1"/>
  <c r="M336" i="1"/>
  <c r="M345" i="1"/>
  <c r="M347" i="1"/>
  <c r="M348" i="1"/>
  <c r="L10" i="1"/>
  <c r="M10" i="1" s="1"/>
  <c r="L11" i="1"/>
  <c r="L12" i="1"/>
  <c r="L13" i="1"/>
  <c r="M13" i="1" s="1"/>
  <c r="L14" i="1"/>
  <c r="M14" i="1" s="1"/>
  <c r="L15" i="1"/>
  <c r="M15" i="1" s="1"/>
  <c r="L16" i="1"/>
  <c r="M16" i="1" s="1"/>
  <c r="L17" i="1"/>
  <c r="M17" i="1" s="1"/>
  <c r="L18" i="1"/>
  <c r="M18" i="1" s="1"/>
  <c r="L19" i="1"/>
  <c r="M19" i="1" s="1"/>
  <c r="L20" i="1"/>
  <c r="M20" i="1" s="1"/>
  <c r="L21" i="1"/>
  <c r="L22" i="1"/>
  <c r="M22" i="1" s="1"/>
  <c r="L23" i="1"/>
  <c r="L24" i="1"/>
  <c r="L25" i="1"/>
  <c r="M25" i="1" s="1"/>
  <c r="L26" i="1"/>
  <c r="M26" i="1" s="1"/>
  <c r="L27" i="1"/>
  <c r="M27" i="1" s="1"/>
  <c r="L28" i="1"/>
  <c r="M28" i="1" s="1"/>
  <c r="L29" i="1"/>
  <c r="M29" i="1" s="1"/>
  <c r="L30" i="1"/>
  <c r="M30" i="1" s="1"/>
  <c r="L31" i="1"/>
  <c r="M31" i="1" s="1"/>
  <c r="L32" i="1"/>
  <c r="M32" i="1" s="1"/>
  <c r="L33" i="1"/>
  <c r="L34" i="1"/>
  <c r="M34" i="1" s="1"/>
  <c r="L35" i="1"/>
  <c r="L36" i="1"/>
  <c r="L37" i="1"/>
  <c r="M37" i="1" s="1"/>
  <c r="L38" i="1"/>
  <c r="M38" i="1" s="1"/>
  <c r="L39" i="1"/>
  <c r="M39" i="1" s="1"/>
  <c r="L40" i="1"/>
  <c r="M40" i="1" s="1"/>
  <c r="L41" i="1"/>
  <c r="M41" i="1" s="1"/>
  <c r="L42" i="1"/>
  <c r="M42" i="1" s="1"/>
  <c r="L43" i="1"/>
  <c r="M43" i="1" s="1"/>
  <c r="L44" i="1"/>
  <c r="M44" i="1" s="1"/>
  <c r="L45" i="1"/>
  <c r="L46" i="1"/>
  <c r="M46" i="1" s="1"/>
  <c r="L47" i="1"/>
  <c r="L48" i="1"/>
  <c r="L49" i="1"/>
  <c r="M49" i="1" s="1"/>
  <c r="L50" i="1"/>
  <c r="M50" i="1" s="1"/>
  <c r="L51" i="1"/>
  <c r="M51" i="1" s="1"/>
  <c r="L52" i="1"/>
  <c r="M52" i="1" s="1"/>
  <c r="L53" i="1"/>
  <c r="M53" i="1" s="1"/>
  <c r="L54" i="1"/>
  <c r="M54" i="1" s="1"/>
  <c r="L55" i="1"/>
  <c r="M55" i="1" s="1"/>
  <c r="L56" i="1"/>
  <c r="M56" i="1" s="1"/>
  <c r="L57" i="1"/>
  <c r="L58" i="1"/>
  <c r="M58" i="1" s="1"/>
  <c r="L59" i="1"/>
  <c r="L60" i="1"/>
  <c r="L61" i="1"/>
  <c r="M61" i="1" s="1"/>
  <c r="L62" i="1"/>
  <c r="M62" i="1" s="1"/>
  <c r="L63" i="1"/>
  <c r="M63" i="1" s="1"/>
  <c r="L64" i="1"/>
  <c r="M64" i="1" s="1"/>
  <c r="L65" i="1"/>
  <c r="M65" i="1" s="1"/>
  <c r="L66" i="1"/>
  <c r="M66" i="1" s="1"/>
  <c r="L67" i="1"/>
  <c r="M67" i="1" s="1"/>
  <c r="L68" i="1"/>
  <c r="M68" i="1" s="1"/>
  <c r="L69" i="1"/>
  <c r="L70" i="1"/>
  <c r="M70" i="1" s="1"/>
  <c r="L71" i="1"/>
  <c r="L72" i="1"/>
  <c r="L73" i="1"/>
  <c r="M73" i="1" s="1"/>
  <c r="L74" i="1"/>
  <c r="M74" i="1" s="1"/>
  <c r="L75" i="1"/>
  <c r="M75" i="1" s="1"/>
  <c r="L76" i="1"/>
  <c r="M76" i="1" s="1"/>
  <c r="L77" i="1"/>
  <c r="M77" i="1" s="1"/>
  <c r="L78" i="1"/>
  <c r="M78" i="1" s="1"/>
  <c r="L79" i="1"/>
  <c r="M79" i="1" s="1"/>
  <c r="L80" i="1"/>
  <c r="M80" i="1" s="1"/>
  <c r="L81" i="1"/>
  <c r="L82" i="1"/>
  <c r="M82" i="1" s="1"/>
  <c r="L83" i="1"/>
  <c r="L84" i="1"/>
  <c r="L85" i="1"/>
  <c r="M85" i="1" s="1"/>
  <c r="L86" i="1"/>
  <c r="M86" i="1" s="1"/>
  <c r="L87" i="1"/>
  <c r="M87" i="1" s="1"/>
  <c r="L88" i="1"/>
  <c r="M88" i="1" s="1"/>
  <c r="L89" i="1"/>
  <c r="M89" i="1" s="1"/>
  <c r="L90" i="1"/>
  <c r="M90" i="1" s="1"/>
  <c r="L91" i="1"/>
  <c r="M91" i="1" s="1"/>
  <c r="L92" i="1"/>
  <c r="M92" i="1" s="1"/>
  <c r="L93" i="1"/>
  <c r="L94" i="1"/>
  <c r="M94" i="1" s="1"/>
  <c r="L95" i="1"/>
  <c r="L96" i="1"/>
  <c r="L97" i="1"/>
  <c r="M97" i="1" s="1"/>
  <c r="L98" i="1"/>
  <c r="M98" i="1" s="1"/>
  <c r="L99" i="1"/>
  <c r="M99" i="1" s="1"/>
  <c r="L100" i="1"/>
  <c r="M100" i="1" s="1"/>
  <c r="L101" i="1"/>
  <c r="M101" i="1" s="1"/>
  <c r="L102" i="1"/>
  <c r="M102" i="1" s="1"/>
  <c r="L103" i="1"/>
  <c r="M103" i="1" s="1"/>
  <c r="L104" i="1"/>
  <c r="M104" i="1" s="1"/>
  <c r="L105" i="1"/>
  <c r="L106" i="1"/>
  <c r="M106" i="1" s="1"/>
  <c r="L107" i="1"/>
  <c r="L108" i="1"/>
  <c r="L109" i="1"/>
  <c r="M109" i="1" s="1"/>
  <c r="L110" i="1"/>
  <c r="M110" i="1" s="1"/>
  <c r="L111" i="1"/>
  <c r="M111" i="1" s="1"/>
  <c r="L112" i="1"/>
  <c r="M112" i="1" s="1"/>
  <c r="L113" i="1"/>
  <c r="M113" i="1" s="1"/>
  <c r="L114" i="1"/>
  <c r="M114" i="1" s="1"/>
  <c r="L115" i="1"/>
  <c r="M115" i="1" s="1"/>
  <c r="L116" i="1"/>
  <c r="M116" i="1" s="1"/>
  <c r="L117" i="1"/>
  <c r="L118" i="1"/>
  <c r="M118" i="1" s="1"/>
  <c r="L119" i="1"/>
  <c r="L120" i="1"/>
  <c r="L121" i="1"/>
  <c r="M121" i="1" s="1"/>
  <c r="L122" i="1"/>
  <c r="M122" i="1" s="1"/>
  <c r="L123" i="1"/>
  <c r="M123" i="1" s="1"/>
  <c r="L124" i="1"/>
  <c r="M124" i="1" s="1"/>
  <c r="L125" i="1"/>
  <c r="M125" i="1" s="1"/>
  <c r="L126" i="1"/>
  <c r="M126" i="1" s="1"/>
  <c r="L127" i="1"/>
  <c r="M127" i="1" s="1"/>
  <c r="L128" i="1"/>
  <c r="M128" i="1" s="1"/>
  <c r="L129" i="1"/>
  <c r="L130" i="1"/>
  <c r="M130" i="1" s="1"/>
  <c r="L131" i="1"/>
  <c r="L132" i="1"/>
  <c r="L133" i="1"/>
  <c r="M133" i="1" s="1"/>
  <c r="L134" i="1"/>
  <c r="M134" i="1" s="1"/>
  <c r="L135" i="1"/>
  <c r="M135" i="1" s="1"/>
  <c r="L136" i="1"/>
  <c r="M136" i="1" s="1"/>
  <c r="L137" i="1"/>
  <c r="M137" i="1" s="1"/>
  <c r="L138" i="1"/>
  <c r="M138" i="1" s="1"/>
  <c r="L139" i="1"/>
  <c r="M139" i="1" s="1"/>
  <c r="L140" i="1"/>
  <c r="M140" i="1" s="1"/>
  <c r="L141" i="1"/>
  <c r="L142" i="1"/>
  <c r="M142" i="1" s="1"/>
  <c r="L143" i="1"/>
  <c r="L144" i="1"/>
  <c r="L145" i="1"/>
  <c r="M145" i="1" s="1"/>
  <c r="L146" i="1"/>
  <c r="M146" i="1" s="1"/>
  <c r="L147" i="1"/>
  <c r="M147" i="1" s="1"/>
  <c r="L148" i="1"/>
  <c r="M148" i="1" s="1"/>
  <c r="L149" i="1"/>
  <c r="M149" i="1" s="1"/>
  <c r="L150" i="1"/>
  <c r="M150" i="1" s="1"/>
  <c r="L151" i="1"/>
  <c r="M151" i="1" s="1"/>
  <c r="L152" i="1"/>
  <c r="M152" i="1" s="1"/>
  <c r="L153" i="1"/>
  <c r="L154" i="1"/>
  <c r="M154" i="1" s="1"/>
  <c r="L155" i="1"/>
  <c r="L156" i="1"/>
  <c r="L157" i="1"/>
  <c r="M157" i="1" s="1"/>
  <c r="L158" i="1"/>
  <c r="M158" i="1" s="1"/>
  <c r="L159" i="1"/>
  <c r="M159" i="1" s="1"/>
  <c r="L160" i="1"/>
  <c r="M160" i="1" s="1"/>
  <c r="L161" i="1"/>
  <c r="M161" i="1" s="1"/>
  <c r="L162" i="1"/>
  <c r="M162" i="1" s="1"/>
  <c r="L163" i="1"/>
  <c r="M163" i="1" s="1"/>
  <c r="L164" i="1"/>
  <c r="M164" i="1" s="1"/>
  <c r="L165" i="1"/>
  <c r="L166" i="1"/>
  <c r="M166" i="1" s="1"/>
  <c r="L167" i="1"/>
  <c r="L168" i="1"/>
  <c r="L169" i="1"/>
  <c r="M169" i="1" s="1"/>
  <c r="L170" i="1"/>
  <c r="M170" i="1" s="1"/>
  <c r="L171" i="1"/>
  <c r="M171" i="1" s="1"/>
  <c r="L172" i="1"/>
  <c r="M172" i="1" s="1"/>
  <c r="L173" i="1"/>
  <c r="M173" i="1" s="1"/>
  <c r="L174" i="1"/>
  <c r="M174" i="1" s="1"/>
  <c r="L175" i="1"/>
  <c r="M175" i="1" s="1"/>
  <c r="L176" i="1"/>
  <c r="M176" i="1" s="1"/>
  <c r="L177" i="1"/>
  <c r="L178" i="1"/>
  <c r="M178" i="1" s="1"/>
  <c r="L179" i="1"/>
  <c r="L180" i="1"/>
  <c r="L181" i="1"/>
  <c r="M181" i="1" s="1"/>
  <c r="L182" i="1"/>
  <c r="M182" i="1" s="1"/>
  <c r="L183" i="1"/>
  <c r="M183" i="1" s="1"/>
  <c r="L184" i="1"/>
  <c r="M184" i="1" s="1"/>
  <c r="L185" i="1"/>
  <c r="M185" i="1" s="1"/>
  <c r="L186" i="1"/>
  <c r="M186" i="1" s="1"/>
  <c r="L187" i="1"/>
  <c r="M187" i="1" s="1"/>
  <c r="L188" i="1"/>
  <c r="M188" i="1" s="1"/>
  <c r="L189" i="1"/>
  <c r="L190" i="1"/>
  <c r="M190" i="1" s="1"/>
  <c r="L191" i="1"/>
  <c r="L192" i="1"/>
  <c r="L193" i="1"/>
  <c r="M193" i="1" s="1"/>
  <c r="L194" i="1"/>
  <c r="M194" i="1" s="1"/>
  <c r="L195" i="1"/>
  <c r="M195" i="1" s="1"/>
  <c r="L196" i="1"/>
  <c r="M196" i="1" s="1"/>
  <c r="L197" i="1"/>
  <c r="M197" i="1" s="1"/>
  <c r="L198" i="1"/>
  <c r="M198" i="1" s="1"/>
  <c r="L199" i="1"/>
  <c r="M199" i="1" s="1"/>
  <c r="L200" i="1"/>
  <c r="M200" i="1" s="1"/>
  <c r="L201" i="1"/>
  <c r="L202" i="1"/>
  <c r="M202" i="1" s="1"/>
  <c r="L203" i="1"/>
  <c r="L204" i="1"/>
  <c r="L205" i="1"/>
  <c r="M205" i="1" s="1"/>
  <c r="L206" i="1"/>
  <c r="M206" i="1" s="1"/>
  <c r="L207" i="1"/>
  <c r="M207" i="1" s="1"/>
  <c r="L208" i="1"/>
  <c r="M208" i="1" s="1"/>
  <c r="L209" i="1"/>
  <c r="M209" i="1" s="1"/>
  <c r="L210" i="1"/>
  <c r="M210" i="1" s="1"/>
  <c r="L211" i="1"/>
  <c r="M211" i="1" s="1"/>
  <c r="L212" i="1"/>
  <c r="M212" i="1" s="1"/>
  <c r="L213" i="1"/>
  <c r="L214" i="1"/>
  <c r="M214" i="1" s="1"/>
  <c r="L215" i="1"/>
  <c r="L216" i="1"/>
  <c r="L217" i="1"/>
  <c r="M217" i="1" s="1"/>
  <c r="L218" i="1"/>
  <c r="M218" i="1" s="1"/>
  <c r="L219" i="1"/>
  <c r="M219" i="1" s="1"/>
  <c r="L220" i="1"/>
  <c r="M220" i="1" s="1"/>
  <c r="L221" i="1"/>
  <c r="M221" i="1" s="1"/>
  <c r="L222" i="1"/>
  <c r="M222" i="1" s="1"/>
  <c r="L223" i="1"/>
  <c r="M223" i="1" s="1"/>
  <c r="L224" i="1"/>
  <c r="M224" i="1" s="1"/>
  <c r="L225" i="1"/>
  <c r="L226" i="1"/>
  <c r="M226" i="1" s="1"/>
  <c r="L227" i="1"/>
  <c r="L228" i="1"/>
  <c r="L229" i="1"/>
  <c r="M229" i="1" s="1"/>
  <c r="L230" i="1"/>
  <c r="M230" i="1" s="1"/>
  <c r="L231" i="1"/>
  <c r="M231" i="1" s="1"/>
  <c r="L232" i="1"/>
  <c r="M232" i="1" s="1"/>
  <c r="L233" i="1"/>
  <c r="M233" i="1" s="1"/>
  <c r="L234" i="1"/>
  <c r="M234" i="1" s="1"/>
  <c r="L235" i="1"/>
  <c r="M235" i="1" s="1"/>
  <c r="L236" i="1"/>
  <c r="M236" i="1" s="1"/>
  <c r="L237" i="1"/>
  <c r="L238" i="1"/>
  <c r="M238" i="1" s="1"/>
  <c r="L239" i="1"/>
  <c r="L240" i="1"/>
  <c r="L241" i="1"/>
  <c r="M241" i="1" s="1"/>
  <c r="L242" i="1"/>
  <c r="M242" i="1" s="1"/>
  <c r="L243" i="1"/>
  <c r="M243" i="1" s="1"/>
  <c r="L244" i="1"/>
  <c r="M244" i="1" s="1"/>
  <c r="L245" i="1"/>
  <c r="M245" i="1" s="1"/>
  <c r="L246" i="1"/>
  <c r="M246" i="1" s="1"/>
  <c r="L247" i="1"/>
  <c r="M247" i="1" s="1"/>
  <c r="L248" i="1"/>
  <c r="M248" i="1" s="1"/>
  <c r="L249" i="1"/>
  <c r="L250" i="1"/>
  <c r="M250" i="1" s="1"/>
  <c r="L251" i="1"/>
  <c r="L252" i="1"/>
  <c r="L253" i="1"/>
  <c r="M253" i="1" s="1"/>
  <c r="L254" i="1"/>
  <c r="M254" i="1" s="1"/>
  <c r="L255" i="1"/>
  <c r="M255" i="1" s="1"/>
  <c r="L256" i="1"/>
  <c r="M256" i="1" s="1"/>
  <c r="L257" i="1"/>
  <c r="M257" i="1" s="1"/>
  <c r="L258" i="1"/>
  <c r="M258" i="1" s="1"/>
  <c r="L259" i="1"/>
  <c r="M259" i="1" s="1"/>
  <c r="L260" i="1"/>
  <c r="M260" i="1" s="1"/>
  <c r="L261" i="1"/>
  <c r="L262" i="1"/>
  <c r="M262" i="1" s="1"/>
  <c r="L263" i="1"/>
  <c r="L264" i="1"/>
  <c r="L265" i="1"/>
  <c r="M265" i="1" s="1"/>
  <c r="L266" i="1"/>
  <c r="M266" i="1" s="1"/>
  <c r="L267" i="1"/>
  <c r="M267" i="1" s="1"/>
  <c r="L268" i="1"/>
  <c r="M268" i="1" s="1"/>
  <c r="L269" i="1"/>
  <c r="M269" i="1" s="1"/>
  <c r="L270" i="1"/>
  <c r="M270" i="1" s="1"/>
  <c r="L271" i="1"/>
  <c r="M271" i="1" s="1"/>
  <c r="L272" i="1"/>
  <c r="M272" i="1" s="1"/>
  <c r="L273" i="1"/>
  <c r="L274" i="1"/>
  <c r="M274" i="1" s="1"/>
  <c r="L275" i="1"/>
  <c r="L276" i="1"/>
  <c r="L277" i="1"/>
  <c r="M277" i="1" s="1"/>
  <c r="L278" i="1"/>
  <c r="M278" i="1" s="1"/>
  <c r="L279" i="1"/>
  <c r="M279" i="1" s="1"/>
  <c r="L280" i="1"/>
  <c r="M280" i="1" s="1"/>
  <c r="L281" i="1"/>
  <c r="M281" i="1" s="1"/>
  <c r="L282" i="1"/>
  <c r="M282" i="1" s="1"/>
  <c r="L283" i="1"/>
  <c r="M283" i="1" s="1"/>
  <c r="L284" i="1"/>
  <c r="M284" i="1" s="1"/>
  <c r="L285" i="1"/>
  <c r="L286" i="1"/>
  <c r="M286" i="1" s="1"/>
  <c r="L287" i="1"/>
  <c r="L288" i="1"/>
  <c r="L289" i="1"/>
  <c r="M289" i="1" s="1"/>
  <c r="L290" i="1"/>
  <c r="M290" i="1" s="1"/>
  <c r="L291" i="1"/>
  <c r="M291" i="1" s="1"/>
  <c r="L292" i="1"/>
  <c r="M292" i="1" s="1"/>
  <c r="L293" i="1"/>
  <c r="M293" i="1" s="1"/>
  <c r="L294" i="1"/>
  <c r="M294" i="1" s="1"/>
  <c r="L295" i="1"/>
  <c r="M295" i="1" s="1"/>
  <c r="L296" i="1"/>
  <c r="M296" i="1" s="1"/>
  <c r="L297" i="1"/>
  <c r="L298" i="1"/>
  <c r="M298" i="1" s="1"/>
  <c r="L299" i="1"/>
  <c r="L300" i="1"/>
  <c r="L301" i="1"/>
  <c r="M301" i="1" s="1"/>
  <c r="L302" i="1"/>
  <c r="M302" i="1" s="1"/>
  <c r="L303" i="1"/>
  <c r="M303" i="1" s="1"/>
  <c r="L304" i="1"/>
  <c r="M304" i="1" s="1"/>
  <c r="L305" i="1"/>
  <c r="M305" i="1" s="1"/>
  <c r="L306" i="1"/>
  <c r="M306" i="1" s="1"/>
  <c r="L307" i="1"/>
  <c r="M307" i="1" s="1"/>
  <c r="L308" i="1"/>
  <c r="M308" i="1" s="1"/>
  <c r="L309" i="1"/>
  <c r="L310" i="1"/>
  <c r="M310" i="1" s="1"/>
  <c r="L311" i="1"/>
  <c r="L312" i="1"/>
  <c r="L313" i="1"/>
  <c r="M313" i="1" s="1"/>
  <c r="L314" i="1"/>
  <c r="M314" i="1" s="1"/>
  <c r="L315" i="1"/>
  <c r="M315" i="1" s="1"/>
  <c r="L316" i="1"/>
  <c r="M316" i="1" s="1"/>
  <c r="L317" i="1"/>
  <c r="M317" i="1" s="1"/>
  <c r="L318" i="1"/>
  <c r="M318" i="1" s="1"/>
  <c r="L319" i="1"/>
  <c r="M319" i="1" s="1"/>
  <c r="L320" i="1"/>
  <c r="M320" i="1" s="1"/>
  <c r="L321" i="1"/>
  <c r="L322" i="1"/>
  <c r="M322" i="1" s="1"/>
  <c r="L323" i="1"/>
  <c r="L324" i="1"/>
  <c r="L325" i="1"/>
  <c r="M325" i="1" s="1"/>
  <c r="L326" i="1"/>
  <c r="M326" i="1" s="1"/>
  <c r="L327" i="1"/>
  <c r="M327" i="1" s="1"/>
  <c r="L328" i="1"/>
  <c r="M328" i="1" s="1"/>
  <c r="L329" i="1"/>
  <c r="M329" i="1" s="1"/>
  <c r="L330" i="1"/>
  <c r="M330" i="1" s="1"/>
  <c r="L331" i="1"/>
  <c r="M331" i="1" s="1"/>
  <c r="L332" i="1"/>
  <c r="M332" i="1" s="1"/>
  <c r="L333" i="1"/>
  <c r="L334" i="1"/>
  <c r="M334" i="1" s="1"/>
  <c r="L335" i="1"/>
  <c r="L336" i="1"/>
  <c r="L337" i="1"/>
  <c r="M337" i="1" s="1"/>
  <c r="L338" i="1"/>
  <c r="M338" i="1" s="1"/>
  <c r="L339" i="1"/>
  <c r="M339" i="1" s="1"/>
  <c r="L340" i="1"/>
  <c r="M340" i="1" s="1"/>
  <c r="L341" i="1"/>
  <c r="M341" i="1" s="1"/>
  <c r="L342" i="1"/>
  <c r="M342" i="1" s="1"/>
  <c r="L343" i="1"/>
  <c r="M343" i="1" s="1"/>
  <c r="L344" i="1"/>
  <c r="M344" i="1" s="1"/>
  <c r="L345" i="1"/>
  <c r="L346" i="1"/>
  <c r="M346" i="1" s="1"/>
  <c r="L347" i="1"/>
  <c r="L348" i="1"/>
  <c r="L349" i="1"/>
  <c r="M349" i="1" s="1"/>
  <c r="L350" i="1"/>
  <c r="M350" i="1" s="1"/>
  <c r="L351" i="1"/>
  <c r="M351" i="1" s="1"/>
  <c r="L3" i="1"/>
  <c r="M3" i="1" s="1"/>
  <c r="L4" i="1"/>
  <c r="M4" i="1" s="1"/>
  <c r="L5" i="1"/>
  <c r="M5" i="1" s="1"/>
  <c r="L6" i="1"/>
  <c r="M6" i="1" s="1"/>
  <c r="L7" i="1"/>
  <c r="M7" i="1" s="1"/>
  <c r="L8" i="1"/>
  <c r="M8" i="1" s="1"/>
  <c r="L9" i="1"/>
  <c r="L2" i="1"/>
  <c r="M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2" i="1"/>
</calcChain>
</file>

<file path=xl/sharedStrings.xml><?xml version="1.0" encoding="utf-8"?>
<sst xmlns="http://schemas.openxmlformats.org/spreadsheetml/2006/main" count="1121" uniqueCount="42">
  <si>
    <t>Employee_ID</t>
  </si>
  <si>
    <t>Department</t>
  </si>
  <si>
    <t>Gender</t>
  </si>
  <si>
    <t>Age</t>
  </si>
  <si>
    <t>Employment_Type</t>
  </si>
  <si>
    <t>Join_Date</t>
  </si>
  <si>
    <t>Salary</t>
  </si>
  <si>
    <t>Performance_Score</t>
  </si>
  <si>
    <t>Sick_Days</t>
  </si>
  <si>
    <t>Exit_Date</t>
  </si>
  <si>
    <t>IT</t>
  </si>
  <si>
    <t>Female</t>
  </si>
  <si>
    <t>Full-time</t>
  </si>
  <si>
    <t>Marketing</t>
  </si>
  <si>
    <t>Male</t>
  </si>
  <si>
    <t>Operations</t>
  </si>
  <si>
    <t>Sales</t>
  </si>
  <si>
    <t>Finance</t>
  </si>
  <si>
    <t>Contract</t>
  </si>
  <si>
    <t>HR</t>
  </si>
  <si>
    <t>Diverse</t>
  </si>
  <si>
    <t>Part-time</t>
  </si>
  <si>
    <t>Exit_Date_Converted</t>
  </si>
  <si>
    <t>Status</t>
  </si>
  <si>
    <t>Tenure_Days</t>
  </si>
  <si>
    <t>Age_Band</t>
  </si>
  <si>
    <t>Data_Quality_Flag</t>
  </si>
  <si>
    <t>Row Labels</t>
  </si>
  <si>
    <t>(blank)</t>
  </si>
  <si>
    <t>Grand Total</t>
  </si>
  <si>
    <t>Count of Employee_ID</t>
  </si>
  <si>
    <t>Active</t>
  </si>
  <si>
    <t>Exited</t>
  </si>
  <si>
    <t>Column Labels</t>
  </si>
  <si>
    <t>Average of Tenure_Days</t>
  </si>
  <si>
    <t>Average of Salary</t>
  </si>
  <si>
    <t>HR Workforce Dashboard</t>
  </si>
  <si>
    <t>Total Employees</t>
  </si>
  <si>
    <t>Active Employees</t>
  </si>
  <si>
    <t>Exited Employees</t>
  </si>
  <si>
    <t>Average Salary</t>
  </si>
  <si>
    <t>Aveage Tenure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</si>
</sst>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2"/>
      <color theme="1"/>
      <name val="Calibri"/>
      <family val="2"/>
      <scheme val="minor"/>
    </font>
    <font>
      <sz val="28"/>
      <color theme="3"/>
      <name val="Calibri"/>
      <family val="2"/>
      <scheme val="minor"/>
    </font>
    <font>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0" borderId="1" xfId="2" applyFont="1"/>
    <xf numFmtId="0" fontId="21" fillId="0" borderId="0" xfId="0" applyFont="1"/>
    <xf numFmtId="0" fontId="19" fillId="33" borderId="10" xfId="0" applyFont="1" applyFill="1" applyBorder="1"/>
    <xf numFmtId="0" fontId="18"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[hr_workforce_Dashboard.xlsx]pivot_headcount_department!PivotTable3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a:t>
            </a:r>
            <a:r>
              <a:rPr lang="en-US" baseline="0"/>
              <a:t>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pivot_headcount_department!$B$3</c:f>
              <c:strCache>
                <c:ptCount val="1"/>
                <c:pt idx="0">
                  <c:v>Total</c:v>
                </c:pt>
              </c:strCache>
            </c:strRef>
          </c:tx>
          <c:spPr>
            <a:solidFill>
              <a:schemeClr val="accent1"/>
            </a:solidFill>
            <a:ln>
              <a:noFill/>
            </a:ln>
            <a:effectLst/>
          </c:spPr>
          <c:invertIfNegative val="0"/>
          <c:cat>
            <c:strRef>
              <c:f>pivot_headcount_department!$A$4:$A$10</c:f>
              <c:strCache>
                <c:ptCount val="6"/>
                <c:pt idx="0">
                  <c:v>Finance</c:v>
                </c:pt>
                <c:pt idx="1">
                  <c:v>HR</c:v>
                </c:pt>
                <c:pt idx="2">
                  <c:v>IT</c:v>
                </c:pt>
                <c:pt idx="3">
                  <c:v>Marketing</c:v>
                </c:pt>
                <c:pt idx="4">
                  <c:v>Operations</c:v>
                </c:pt>
                <c:pt idx="5">
                  <c:v>Sales</c:v>
                </c:pt>
              </c:strCache>
            </c:strRef>
          </c:cat>
          <c:val>
            <c:numRef>
              <c:f>pivot_headcount_department!$B$4:$B$10</c:f>
              <c:numCache>
                <c:formatCode>General</c:formatCode>
                <c:ptCount val="6"/>
                <c:pt idx="0">
                  <c:v>2</c:v>
                </c:pt>
                <c:pt idx="1">
                  <c:v>1</c:v>
                </c:pt>
                <c:pt idx="2">
                  <c:v>3</c:v>
                </c:pt>
                <c:pt idx="3">
                  <c:v>2</c:v>
                </c:pt>
                <c:pt idx="4">
                  <c:v>3</c:v>
                </c:pt>
                <c:pt idx="5">
                  <c:v>3</c:v>
                </c:pt>
              </c:numCache>
            </c:numRef>
          </c:val>
          <c:extLst>
            <c:ext xmlns:c16="http://schemas.microsoft.com/office/drawing/2014/chart" uri="{C3380CC4-5D6E-409C-BE32-E72D297353CC}">
              <c16:uniqueId val="{00000000-3E1D-4451-BAC6-D053539E17D6}"/>
            </c:ext>
          </c:extLst>
        </c:ser>
        <c:dLbls>
          <c:showLegendKey val="0"/>
          <c:showVal val="0"/>
          <c:showCatName val="0"/>
          <c:showSerName val="0"/>
          <c:showPercent val="0"/>
          <c:showBubbleSize val="0"/>
        </c:dLbls>
        <c:gapWidth val="219"/>
        <c:overlap val="-27"/>
        <c:axId val="1815014032"/>
        <c:axId val="1815013200"/>
      </c:barChart>
      <c:catAx>
        <c:axId val="18150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13200"/>
        <c:crosses val="autoZero"/>
        <c:auto val="1"/>
        <c:lblAlgn val="ctr"/>
        <c:lblOffset val="100"/>
        <c:noMultiLvlLbl val="0"/>
      </c:catAx>
      <c:valAx>
        <c:axId val="181501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14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[hr_workforce_Dashboard.xlsx]pivot_avg_salary_department!PivotTable6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pivot_avg_salary_department!$B$3</c:f>
              <c:strCache>
                <c:ptCount val="1"/>
                <c:pt idx="0">
                  <c:v>Total</c:v>
                </c:pt>
              </c:strCache>
            </c:strRef>
          </c:tx>
          <c:spPr>
            <a:solidFill>
              <a:schemeClr val="accent1"/>
            </a:solidFill>
            <a:ln>
              <a:noFill/>
            </a:ln>
            <a:effectLst/>
          </c:spPr>
          <c:invertIfNegative val="0"/>
          <c:cat>
            <c:strRef>
              <c:f>pivot_avg_salary_department!$A$4:$A$11</c:f>
              <c:strCache>
                <c:ptCount val="7"/>
                <c:pt idx="0">
                  <c:v>Finance</c:v>
                </c:pt>
                <c:pt idx="1">
                  <c:v>HR</c:v>
                </c:pt>
                <c:pt idx="2">
                  <c:v>IT</c:v>
                </c:pt>
                <c:pt idx="3">
                  <c:v>Marketing</c:v>
                </c:pt>
                <c:pt idx="4">
                  <c:v>Operations</c:v>
                </c:pt>
                <c:pt idx="5">
                  <c:v>Sales</c:v>
                </c:pt>
                <c:pt idx="6">
                  <c:v>(blank)</c:v>
                </c:pt>
              </c:strCache>
            </c:strRef>
          </c:cat>
          <c:val>
            <c:numRef>
              <c:f>pivot_avg_salary_department!$B$4:$B$11</c:f>
              <c:numCache>
                <c:formatCode>General</c:formatCode>
                <c:ptCount val="7"/>
                <c:pt idx="0">
                  <c:v>6450.7735849056608</c:v>
                </c:pt>
                <c:pt idx="1">
                  <c:v>6127.5535714285716</c:v>
                </c:pt>
                <c:pt idx="2">
                  <c:v>5978.2241379310344</c:v>
                </c:pt>
                <c:pt idx="3">
                  <c:v>6297.4838709677415</c:v>
                </c:pt>
                <c:pt idx="4">
                  <c:v>6092.1016949152545</c:v>
                </c:pt>
                <c:pt idx="5">
                  <c:v>6276.4354838709678</c:v>
                </c:pt>
              </c:numCache>
            </c:numRef>
          </c:val>
          <c:extLst>
            <c:ext xmlns:c16="http://schemas.microsoft.com/office/drawing/2014/chart" uri="{C3380CC4-5D6E-409C-BE32-E72D297353CC}">
              <c16:uniqueId val="{00000000-21F5-4CFA-BB17-F22F42990C14}"/>
            </c:ext>
          </c:extLst>
        </c:ser>
        <c:dLbls>
          <c:showLegendKey val="0"/>
          <c:showVal val="0"/>
          <c:showCatName val="0"/>
          <c:showSerName val="0"/>
          <c:showPercent val="0"/>
          <c:showBubbleSize val="0"/>
        </c:dLbls>
        <c:gapWidth val="219"/>
        <c:overlap val="-27"/>
        <c:axId val="1815436352"/>
        <c:axId val="1815437184"/>
      </c:barChart>
      <c:catAx>
        <c:axId val="18154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37184"/>
        <c:crosses val="autoZero"/>
        <c:auto val="1"/>
        <c:lblAlgn val="ctr"/>
        <c:lblOffset val="100"/>
        <c:noMultiLvlLbl val="0"/>
      </c:catAx>
      <c:valAx>
        <c:axId val="181543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36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[hr_workforce_Dashboard.xlsx]pivot_status_summary!PivotTable2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vs Exited Employees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pivot_status_summary!$B$3</c:f>
              <c:strCache>
                <c:ptCount val="1"/>
                <c:pt idx="0">
                  <c:v>Total</c:v>
                </c:pt>
              </c:strCache>
            </c:strRef>
          </c:tx>
          <c:spPr>
            <a:solidFill>
              <a:schemeClr val="accent1"/>
            </a:solidFill>
            <a:ln>
              <a:noFill/>
            </a:ln>
            <a:effectLst/>
          </c:spPr>
          <c:invertIfNegative val="0"/>
          <c:cat>
            <c:strRef>
              <c:f>pivot_status_summary!$A$4:$A$7</c:f>
              <c:strCache>
                <c:ptCount val="3"/>
                <c:pt idx="0">
                  <c:v>Active</c:v>
                </c:pt>
                <c:pt idx="1">
                  <c:v>Exited</c:v>
                </c:pt>
                <c:pt idx="2">
                  <c:v>(blank)</c:v>
                </c:pt>
              </c:strCache>
            </c:strRef>
          </c:cat>
          <c:val>
            <c:numRef>
              <c:f>pivot_status_summary!$B$4:$B$7</c:f>
              <c:numCache>
                <c:formatCode>General</c:formatCode>
                <c:ptCount val="3"/>
                <c:pt idx="0">
                  <c:v>285</c:v>
                </c:pt>
                <c:pt idx="1">
                  <c:v>65</c:v>
                </c:pt>
              </c:numCache>
            </c:numRef>
          </c:val>
          <c:extLst>
            <c:ext xmlns:c16="http://schemas.microsoft.com/office/drawing/2014/chart" uri="{C3380CC4-5D6E-409C-BE32-E72D297353CC}">
              <c16:uniqueId val="{00000000-24CB-4A56-A1A0-2040D348BB05}"/>
            </c:ext>
          </c:extLst>
        </c:ser>
        <c:dLbls>
          <c:showLegendKey val="0"/>
          <c:showVal val="0"/>
          <c:showCatName val="0"/>
          <c:showSerName val="0"/>
          <c:showPercent val="0"/>
          <c:showBubbleSize val="0"/>
        </c:dLbls>
        <c:gapWidth val="219"/>
        <c:overlap val="-27"/>
        <c:axId val="2106821232"/>
        <c:axId val="2106829136"/>
      </c:barChart>
      <c:catAx>
        <c:axId val="210682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29136"/>
        <c:crosses val="autoZero"/>
        <c:auto val="1"/>
        <c:lblAlgn val="ctr"/>
        <c:lblOffset val="100"/>
        <c:noMultiLvlLbl val="0"/>
      </c:catAx>
      <c:valAx>
        <c:axId val="210682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82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94643</xdr:rowOff>
    </xdr:from>
    <xdr:to>
      <xdr:col>2</xdr:col>
      <xdr:colOff>400142</xdr:colOff>
      <xdr:row>44</xdr:row>
      <xdr:rowOff>155603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197912</xdr:colOff>
      <xdr:row>16</xdr:row>
      <xdr:rowOff>94643</xdr:rowOff>
    </xdr:from>
    <xdr:to>
      <xdr:col>8</xdr:col>
      <xdr:colOff>460010</xdr:colOff>
      <xdr:row>44</xdr:row>
      <xdr:rowOff>155603</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257781</xdr:colOff>
      <xdr:row>16</xdr:row>
      <xdr:rowOff>94643</xdr:rowOff>
    </xdr:from>
    <xdr:to>
      <xdr:col>17</xdr:col>
      <xdr:colOff>427851</xdr:colOff>
      <xdr:row>44</xdr:row>
      <xdr:rowOff>155603</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53862</xdr:rowOff>
    </xdr:from>
    <xdr:to>
      <xdr:col>0</xdr:col>
      <xdr:colOff>2291868</xdr:colOff>
      <xdr:row>13</xdr:row>
      <xdr:rowOff>45456</xdr:rowOff>
    </xdr:to>
    <mc:AlternateContent xmlns:mc="http://schemas.openxmlformats.org/markup-compatibility/2006" xmlns:a14="http://schemas.microsoft.com/office/drawing/2010/main">
      <mc:Choice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225562"/>
              <a:ext cx="2291868" cy="1121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2649338</xdr:colOff>
      <xdr:row>8</xdr:row>
      <xdr:rowOff>53862</xdr:rowOff>
    </xdr:from>
    <xdr:to>
      <xdr:col>2</xdr:col>
      <xdr:colOff>246559</xdr:colOff>
      <xdr:row>13</xdr:row>
      <xdr:rowOff>45456</xdr:rowOff>
    </xdr:to>
    <mc:AlternateContent xmlns:mc="http://schemas.openxmlformats.org/markup-compatibility/2006" xmlns:a14="http://schemas.microsoft.com/office/drawing/2010/main">
      <mc:Choice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49338" y="2225562"/>
              <a:ext cx="2308921" cy="1121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341953</xdr:colOff>
      <xdr:row>8</xdr:row>
      <xdr:rowOff>53862</xdr:rowOff>
    </xdr:from>
    <xdr:to>
      <xdr:col>8</xdr:col>
      <xdr:colOff>21935</xdr:colOff>
      <xdr:row>13</xdr:row>
      <xdr:rowOff>45456</xdr:rowOff>
    </xdr:to>
    <mc:AlternateContent xmlns:mc="http://schemas.openxmlformats.org/markup-compatibility/2006" xmlns:a14="http://schemas.microsoft.com/office/drawing/2010/main">
      <mc:Choice Requires="a14">
        <xdr:graphicFrame macro="">
          <xdr:nvGraphicFramePr>
            <xdr:cNvPr id="7" name="Employment_Type"/>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8114353" y="2225562"/>
              <a:ext cx="2296182" cy="1121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62922</xdr:colOff>
      <xdr:row>8</xdr:row>
      <xdr:rowOff>53862</xdr:rowOff>
    </xdr:from>
    <xdr:to>
      <xdr:col>4</xdr:col>
      <xdr:colOff>595520</xdr:colOff>
      <xdr:row>13</xdr:row>
      <xdr:rowOff>45456</xdr:rowOff>
    </xdr:to>
    <mc:AlternateContent xmlns:mc="http://schemas.openxmlformats.org/markup-compatibility/2006" xmlns:a14="http://schemas.microsoft.com/office/drawing/2010/main">
      <mc:Choice Requires="a14">
        <xdr:graphicFrame macro="">
          <xdr:nvGraphicFramePr>
            <xdr:cNvPr id="8"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384222" y="2225562"/>
              <a:ext cx="2297898" cy="1121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orche" refreshedDate="45981.518785300927" createdVersion="6" refreshedVersion="6" minRefreshableVersion="3" recordCount="352">
  <cacheSource type="worksheet">
    <worksheetSource ref="A1:O1048576" sheet="hr_workforce_dataset (1)"/>
  </cacheSource>
  <cacheFields count="15">
    <cacheField name="Employee_ID" numFmtId="0">
      <sharedItems containsString="0" containsBlank="1" containsNumber="1" containsInteger="1" minValue="1001" maxValue="1350"/>
    </cacheField>
    <cacheField name="Department" numFmtId="0">
      <sharedItems containsBlank="1" count="7">
        <s v="IT"/>
        <s v="Marketing"/>
        <s v="Operations"/>
        <s v="Sales"/>
        <s v="Finance"/>
        <s v="HR"/>
        <m/>
      </sharedItems>
    </cacheField>
    <cacheField name="Gender" numFmtId="0">
      <sharedItems containsBlank="1" count="4">
        <s v="Female"/>
        <s v="Male"/>
        <s v="Diverse"/>
        <m/>
      </sharedItems>
    </cacheField>
    <cacheField name="Age" numFmtId="0">
      <sharedItems containsString="0" containsBlank="1" containsNumber="1" containsInteger="1" minValue="22" maxValue="60" count="40">
        <n v="53"/>
        <n v="39"/>
        <n v="27"/>
        <n v="40"/>
        <n v="43"/>
        <n v="58"/>
        <n v="24"/>
        <n v="49"/>
        <n v="31"/>
        <n v="56"/>
        <n v="50"/>
        <n v="36"/>
        <n v="54"/>
        <n v="28"/>
        <n v="33"/>
        <n v="51"/>
        <n v="42"/>
        <n v="52"/>
        <n v="45"/>
        <n v="41"/>
        <n v="25"/>
        <n v="57"/>
        <n v="55"/>
        <n v="23"/>
        <n v="60"/>
        <n v="47"/>
        <n v="29"/>
        <n v="44"/>
        <n v="35"/>
        <n v="26"/>
        <n v="59"/>
        <n v="46"/>
        <n v="38"/>
        <n v="22"/>
        <n v="32"/>
        <n v="37"/>
        <n v="30"/>
        <n v="48"/>
        <n v="34"/>
        <m/>
      </sharedItems>
    </cacheField>
    <cacheField name="Employment_Type" numFmtId="0">
      <sharedItems containsBlank="1" count="4">
        <s v="Full-time"/>
        <s v="Contract"/>
        <s v="Part-time"/>
        <m/>
      </sharedItems>
    </cacheField>
    <cacheField name="Join_Date" numFmtId="0">
      <sharedItems containsNonDate="0" containsDate="1" containsString="0" containsBlank="1" minDate="2015-01-04T00:00:00" maxDate="2023-12-24T00:00:00" count="325">
        <d v="2021-10-26T00:00:00"/>
        <d v="2018-05-26T00:00:00"/>
        <d v="2022-10-02T00:00:00"/>
        <d v="2019-05-22T00:00:00"/>
        <d v="2021-07-22T00:00:00"/>
        <d v="2017-09-03T00:00:00"/>
        <d v="2021-12-27T00:00:00"/>
        <d v="2022-05-18T00:00:00"/>
        <d v="2019-01-12T00:00:00"/>
        <d v="2018-10-01T00:00:00"/>
        <d v="2022-10-22T00:00:00"/>
        <d v="2022-01-12T00:00:00"/>
        <d v="2017-02-05T00:00:00"/>
        <d v="2020-06-27T00:00:00"/>
        <d v="2019-09-25T00:00:00"/>
        <d v="2016-08-17T00:00:00"/>
        <d v="2022-05-16T00:00:00"/>
        <d v="2020-01-15T00:00:00"/>
        <d v="2016-07-23T00:00:00"/>
        <d v="2019-05-15T00:00:00"/>
        <d v="2015-06-05T00:00:00"/>
        <d v="2020-07-21T00:00:00"/>
        <d v="2023-03-14T00:00:00"/>
        <d v="2015-12-02T00:00:00"/>
        <d v="2017-10-11T00:00:00"/>
        <d v="2021-03-19T00:00:00"/>
        <d v="2018-05-07T00:00:00"/>
        <d v="2023-06-06T00:00:00"/>
        <d v="2017-09-28T00:00:00"/>
        <d v="2019-12-02T00:00:00"/>
        <d v="2017-05-06T00:00:00"/>
        <d v="2021-01-18T00:00:00"/>
        <d v="2019-04-02T00:00:00"/>
        <d v="2023-05-18T00:00:00"/>
        <d v="2021-12-15T00:00:00"/>
        <d v="2016-10-27T00:00:00"/>
        <d v="2018-10-19T00:00:00"/>
        <d v="2023-05-02T00:00:00"/>
        <d v="2016-07-20T00:00:00"/>
        <d v="2023-04-25T00:00:00"/>
        <d v="2019-01-06T00:00:00"/>
        <d v="2016-05-01T00:00:00"/>
        <d v="2018-07-24T00:00:00"/>
        <d v="2021-10-15T00:00:00"/>
        <d v="2022-10-28T00:00:00"/>
        <d v="2017-06-23T00:00:00"/>
        <d v="2015-05-10T00:00:00"/>
        <d v="2018-04-19T00:00:00"/>
        <d v="2016-02-17T00:00:00"/>
        <d v="2022-04-05T00:00:00"/>
        <d v="2018-10-04T00:00:00"/>
        <d v="2016-10-10T00:00:00"/>
        <d v="2020-03-24T00:00:00"/>
        <d v="2020-10-17T00:00:00"/>
        <d v="2018-01-10T00:00:00"/>
        <d v="2020-08-17T00:00:00"/>
        <d v="2016-05-28T00:00:00"/>
        <d v="2016-04-20T00:00:00"/>
        <d v="2018-08-24T00:00:00"/>
        <d v="2022-07-05T00:00:00"/>
        <d v="2021-02-02T00:00:00"/>
        <d v="2023-01-06T00:00:00"/>
        <d v="2022-12-21T00:00:00"/>
        <d v="2019-11-02T00:00:00"/>
        <d v="2016-04-13T00:00:00"/>
        <d v="2019-08-11T00:00:00"/>
        <d v="2022-12-11T00:00:00"/>
        <d v="2023-02-16T00:00:00"/>
        <d v="2023-03-11T00:00:00"/>
        <d v="2015-12-19T00:00:00"/>
        <d v="2023-01-15T00:00:00"/>
        <d v="2021-01-25T00:00:00"/>
        <d v="2023-03-23T00:00:00"/>
        <d v="2022-11-23T00:00:00"/>
        <d v="2015-05-16T00:00:00"/>
        <d v="2022-03-22T00:00:00"/>
        <d v="2017-01-16T00:00:00"/>
        <d v="2015-01-08T00:00:00"/>
        <d v="2022-08-04T00:00:00"/>
        <d v="2017-10-08T00:00:00"/>
        <d v="2017-11-04T00:00:00"/>
        <d v="2015-12-24T00:00:00"/>
        <d v="2019-12-25T00:00:00"/>
        <d v="2021-02-03T00:00:00"/>
        <d v="2023-03-03T00:00:00"/>
        <d v="2021-02-27T00:00:00"/>
        <d v="2023-03-18T00:00:00"/>
        <d v="2022-07-26T00:00:00"/>
        <d v="2016-01-19T00:00:00"/>
        <d v="2015-10-19T00:00:00"/>
        <d v="2021-08-21T00:00:00"/>
        <d v="2021-10-05T00:00:00"/>
        <d v="2022-10-18T00:00:00"/>
        <d v="2019-10-28T00:00:00"/>
        <d v="2017-02-10T00:00:00"/>
        <d v="2020-09-21T00:00:00"/>
        <d v="2017-07-06T00:00:00"/>
        <d v="2015-04-01T00:00:00"/>
        <d v="2017-10-05T00:00:00"/>
        <d v="2019-05-09T00:00:00"/>
        <d v="2017-02-12T00:00:00"/>
        <d v="2015-11-26T00:00:00"/>
        <d v="2019-08-14T00:00:00"/>
        <d v="2021-04-02T00:00:00"/>
        <d v="2021-09-17T00:00:00"/>
        <d v="2023-05-14T00:00:00"/>
        <d v="2017-09-26T00:00:00"/>
        <d v="2021-04-13T00:00:00"/>
        <d v="2015-10-27T00:00:00"/>
        <d v="2018-05-09T00:00:00"/>
        <d v="2018-09-26T00:00:00"/>
        <d v="2019-08-25T00:00:00"/>
        <d v="2021-03-15T00:00:00"/>
        <d v="2018-03-22T00:00:00"/>
        <d v="2021-04-15T00:00:00"/>
        <d v="2017-02-24T00:00:00"/>
        <d v="2020-01-11T00:00:00"/>
        <d v="2016-07-16T00:00:00"/>
        <d v="2023-08-17T00:00:00"/>
        <d v="2019-07-26T00:00:00"/>
        <d v="2020-05-04T00:00:00"/>
        <d v="2018-12-01T00:00:00"/>
        <d v="2021-01-08T00:00:00"/>
        <d v="2023-07-17T00:00:00"/>
        <d v="2021-07-03T00:00:00"/>
        <d v="2015-09-20T00:00:00"/>
        <d v="2015-03-15T00:00:00"/>
        <d v="2023-09-15T00:00:00"/>
        <d v="2023-01-24T00:00:00"/>
        <d v="2018-01-22T00:00:00"/>
        <d v="2023-04-14T00:00:00"/>
        <d v="2021-06-28T00:00:00"/>
        <d v="2020-11-23T00:00:00"/>
        <d v="2022-03-14T00:00:00"/>
        <d v="2015-12-13T00:00:00"/>
        <d v="2020-12-27T00:00:00"/>
        <d v="2022-09-24T00:00:00"/>
        <d v="2023-07-19T00:00:00"/>
        <d v="2018-12-07T00:00:00"/>
        <d v="2015-04-03T00:00:00"/>
        <d v="2018-10-23T00:00:00"/>
        <d v="2021-05-14T00:00:00"/>
        <d v="2016-05-11T00:00:00"/>
        <d v="2017-03-15T00:00:00"/>
        <d v="2015-12-28T00:00:00"/>
        <d v="2019-09-13T00:00:00"/>
        <d v="2015-04-18T00:00:00"/>
        <d v="2022-11-26T00:00:00"/>
        <d v="2015-05-06T00:00:00"/>
        <d v="2016-05-19T00:00:00"/>
        <d v="2016-07-15T00:00:00"/>
        <d v="2020-09-25T00:00:00"/>
        <d v="2021-07-23T00:00:00"/>
        <d v="2019-05-05T00:00:00"/>
        <d v="2015-10-28T00:00:00"/>
        <d v="2015-10-10T00:00:00"/>
        <d v="2017-07-07T00:00:00"/>
        <d v="2016-10-25T00:00:00"/>
        <d v="2019-05-17T00:00:00"/>
        <d v="2020-03-07T00:00:00"/>
        <d v="2018-11-26T00:00:00"/>
        <d v="2021-11-12T00:00:00"/>
        <d v="2022-02-25T00:00:00"/>
        <d v="2015-12-17T00:00:00"/>
        <d v="2020-09-13T00:00:00"/>
        <d v="2022-10-20T00:00:00"/>
        <d v="2019-10-25T00:00:00"/>
        <d v="2018-12-04T00:00:00"/>
        <d v="2016-01-10T00:00:00"/>
        <d v="2020-06-03T00:00:00"/>
        <d v="2020-07-09T00:00:00"/>
        <d v="2015-08-13T00:00:00"/>
        <d v="2023-10-18T00:00:00"/>
        <d v="2020-09-15T00:00:00"/>
        <d v="2017-02-04T00:00:00"/>
        <d v="2018-11-15T00:00:00"/>
        <d v="2018-10-22T00:00:00"/>
        <d v="2017-02-02T00:00:00"/>
        <d v="2017-05-15T00:00:00"/>
        <d v="2017-05-08T00:00:00"/>
        <d v="2018-06-08T00:00:00"/>
        <d v="2021-03-17T00:00:00"/>
        <d v="2018-08-12T00:00:00"/>
        <d v="2023-01-19T00:00:00"/>
        <d v="2015-06-10T00:00:00"/>
        <d v="2022-04-09T00:00:00"/>
        <d v="2021-01-05T00:00:00"/>
        <d v="2016-07-06T00:00:00"/>
        <d v="2022-09-20T00:00:00"/>
        <d v="2015-04-26T00:00:00"/>
        <d v="2023-04-02T00:00:00"/>
        <d v="2023-06-27T00:00:00"/>
        <d v="2016-12-24T00:00:00"/>
        <d v="2021-03-27T00:00:00"/>
        <d v="2017-12-13T00:00:00"/>
        <d v="2021-06-06T00:00:00"/>
        <d v="2023-07-05T00:00:00"/>
        <d v="2018-11-25T00:00:00"/>
        <d v="2015-10-01T00:00:00"/>
        <d v="2016-10-21T00:00:00"/>
        <d v="2015-03-22T00:00:00"/>
        <d v="2019-07-21T00:00:00"/>
        <d v="2019-03-06T00:00:00"/>
        <d v="2021-02-06T00:00:00"/>
        <d v="2023-12-23T00:00:00"/>
        <d v="2023-10-16T00:00:00"/>
        <d v="2017-04-04T00:00:00"/>
        <d v="2017-12-11T00:00:00"/>
        <d v="2017-08-24T00:00:00"/>
        <d v="2018-09-23T00:00:00"/>
        <d v="2022-07-09T00:00:00"/>
        <d v="2020-01-23T00:00:00"/>
        <d v="2022-03-03T00:00:00"/>
        <d v="2022-09-08T00:00:00"/>
        <d v="2018-12-05T00:00:00"/>
        <d v="2015-01-04T00:00:00"/>
        <d v="2018-08-06T00:00:00"/>
        <d v="2020-01-02T00:00:00"/>
        <d v="2022-06-20T00:00:00"/>
        <d v="2018-05-28T00:00:00"/>
        <d v="2017-06-11T00:00:00"/>
        <d v="2023-10-04T00:00:00"/>
        <d v="2017-12-15T00:00:00"/>
        <d v="2023-05-06T00:00:00"/>
        <d v="2016-06-22T00:00:00"/>
        <d v="2016-05-17T00:00:00"/>
        <d v="2016-11-24T00:00:00"/>
        <d v="2020-12-06T00:00:00"/>
        <d v="2017-05-19T00:00:00"/>
        <d v="2018-03-02T00:00:00"/>
        <d v="2018-04-11T00:00:00"/>
        <d v="2015-09-08T00:00:00"/>
        <d v="2019-02-26T00:00:00"/>
        <d v="2018-09-19T00:00:00"/>
        <d v="2022-01-13T00:00:00"/>
        <d v="2021-05-05T00:00:00"/>
        <d v="2017-06-06T00:00:00"/>
        <d v="2015-06-26T00:00:00"/>
        <d v="2017-07-04T00:00:00"/>
        <d v="2020-09-19T00:00:00"/>
        <d v="2021-11-20T00:00:00"/>
        <d v="2020-12-01T00:00:00"/>
        <d v="2020-10-20T00:00:00"/>
        <d v="2017-06-12T00:00:00"/>
        <d v="2020-12-15T00:00:00"/>
        <d v="2022-08-01T00:00:00"/>
        <d v="2016-12-26T00:00:00"/>
        <d v="2019-05-14T00:00:00"/>
        <d v="2015-08-06T00:00:00"/>
        <d v="2015-10-05T00:00:00"/>
        <d v="2019-12-11T00:00:00"/>
        <d v="2018-10-13T00:00:00"/>
        <d v="2017-08-11T00:00:00"/>
        <d v="2015-10-03T00:00:00"/>
        <d v="2015-12-01T00:00:00"/>
        <d v="2019-02-06T00:00:00"/>
        <d v="2020-12-18T00:00:00"/>
        <d v="2017-12-24T00:00:00"/>
        <d v="2023-05-10T00:00:00"/>
        <d v="2019-09-05T00:00:00"/>
        <d v="2022-04-23T00:00:00"/>
        <d v="2015-11-10T00:00:00"/>
        <d v="2019-06-12T00:00:00"/>
        <d v="2017-01-02T00:00:00"/>
        <d v="2015-09-13T00:00:00"/>
        <d v="2018-01-08T00:00:00"/>
        <d v="2019-05-02T00:00:00"/>
        <d v="2021-04-20T00:00:00"/>
        <d v="2017-03-05T00:00:00"/>
        <d v="2016-06-09T00:00:00"/>
        <d v="2023-02-17T00:00:00"/>
        <d v="2020-03-09T00:00:00"/>
        <d v="2017-05-11T00:00:00"/>
        <d v="2022-09-15T00:00:00"/>
        <d v="2022-02-24T00:00:00"/>
        <d v="2016-10-06T00:00:00"/>
        <d v="2020-08-23T00:00:00"/>
        <d v="2016-11-17T00:00:00"/>
        <d v="2016-05-05T00:00:00"/>
        <d v="2015-07-28T00:00:00"/>
        <d v="2022-08-12T00:00:00"/>
        <d v="2015-01-18T00:00:00"/>
        <d v="2023-06-14T00:00:00"/>
        <d v="2020-01-21T00:00:00"/>
        <d v="2021-02-24T00:00:00"/>
        <d v="2021-01-11T00:00:00"/>
        <d v="2017-11-09T00:00:00"/>
        <d v="2016-05-02T00:00:00"/>
        <d v="2023-10-12T00:00:00"/>
        <d v="2022-09-03T00:00:00"/>
        <d v="2021-06-03T00:00:00"/>
        <d v="2023-11-01T00:00:00"/>
        <d v="2018-11-08T00:00:00"/>
        <d v="2015-01-28T00:00:00"/>
        <d v="2022-02-08T00:00:00"/>
        <d v="2017-09-11T00:00:00"/>
        <d v="2021-03-09T00:00:00"/>
        <d v="2016-01-05T00:00:00"/>
        <d v="2016-05-14T00:00:00"/>
        <d v="2021-07-28T00:00:00"/>
        <d v="2017-12-21T00:00:00"/>
        <d v="2023-01-05T00:00:00"/>
        <d v="2020-05-05T00:00:00"/>
        <d v="2020-05-19T00:00:00"/>
        <d v="2015-06-27T00:00:00"/>
        <d v="2018-03-14T00:00:00"/>
        <d v="2020-05-26T00:00:00"/>
        <d v="2020-07-04T00:00:00"/>
        <d v="2019-05-25T00:00:00"/>
        <d v="2015-05-13T00:00:00"/>
        <d v="2022-05-10T00:00:00"/>
        <d v="2019-10-18T00:00:00"/>
        <d v="2021-03-08T00:00:00"/>
        <d v="2020-05-07T00:00:00"/>
        <d v="2018-09-08T00:00:00"/>
        <d v="2017-01-14T00:00:00"/>
        <d v="2022-04-06T00:00:00"/>
        <d v="2018-01-01T00:00:00"/>
        <d v="2016-01-23T00:00:00"/>
        <d v="2017-08-15T00:00:00"/>
        <d v="2015-02-01T00:00:00"/>
        <d v="2022-12-25T00:00:00"/>
        <d v="2017-08-17T00:00:00"/>
        <d v="2021-07-01T00:00:00"/>
        <m/>
      </sharedItems>
    </cacheField>
    <cacheField name="Salary" numFmtId="0">
      <sharedItems containsString="0" containsBlank="1" containsNumber="1" containsInteger="1" minValue="2807" maxValue="9497"/>
    </cacheField>
    <cacheField name="Performance_Score" numFmtId="0">
      <sharedItems containsString="0" containsBlank="1" containsNumber="1" containsInteger="1" minValue="1" maxValue="5"/>
    </cacheField>
    <cacheField name="Sick_Days" numFmtId="0">
      <sharedItems containsString="0" containsBlank="1" containsNumber="1" containsInteger="1" minValue="0" maxValue="20"/>
    </cacheField>
    <cacheField name="Exit_Date" numFmtId="0">
      <sharedItems containsNonDate="0" containsDate="1" containsString="0" containsBlank="1" minDate="2017-01-30T00:00:00" maxDate="2028-03-10T00:00:00"/>
    </cacheField>
    <cacheField name="Exit_Date_Converted" numFmtId="0">
      <sharedItems containsBlank="1" containsMixedTypes="1" containsNumber="1" containsInteger="1" minValue="42765" maxValue="46821"/>
    </cacheField>
    <cacheField name="Status" numFmtId="0">
      <sharedItems containsBlank="1" count="3">
        <s v="Exited"/>
        <s v="Active"/>
        <m/>
      </sharedItems>
    </cacheField>
    <cacheField name="Tenure_Days" numFmtId="0">
      <sharedItems containsString="0" containsBlank="1" containsNumber="1" containsInteger="1" minValue="219" maxValue="3969" count="328">
        <n v="868"/>
        <n v="2735"/>
        <n v="1145"/>
        <n v="2374"/>
        <n v="1582"/>
        <n v="3000"/>
        <n v="1718"/>
        <n v="1282"/>
        <n v="2504"/>
        <n v="2607"/>
        <n v="1125"/>
        <n v="429"/>
        <n v="3210"/>
        <n v="1972"/>
        <n v="2248"/>
        <n v="3382"/>
        <n v="1284"/>
        <n v="2136"/>
        <n v="219"/>
        <n v="2381"/>
        <n v="3821"/>
        <n v="1948"/>
        <n v="982"/>
        <n v="3641"/>
        <n v="752"/>
        <n v="1707"/>
        <n v="2754"/>
        <n v="898"/>
        <n v="2975"/>
        <n v="2180"/>
        <n v="3120"/>
        <n v="1149"/>
        <n v="2424"/>
        <n v="917"/>
        <n v="347"/>
        <n v="1331"/>
        <n v="2589"/>
        <n v="933"/>
        <n v="3410"/>
        <n v="602"/>
        <n v="2510"/>
        <n v="3490"/>
        <n v="2676"/>
        <n v="1497"/>
        <n v="1119"/>
        <n v="3072"/>
        <n v="3847"/>
        <n v="2772"/>
        <n v="3564"/>
        <n v="1325"/>
        <n v="2604"/>
        <n v="795"/>
        <n v="1706"/>
        <n v="566"/>
        <n v="2871"/>
        <n v="1921"/>
        <n v="1637"/>
        <n v="3501"/>
        <n v="2645"/>
        <n v="1234"/>
        <n v="1752"/>
        <n v="1049"/>
        <n v="1532"/>
        <n v="2210"/>
        <n v="3508"/>
        <n v="2293"/>
        <n v="1075"/>
        <n v="1008"/>
        <n v="1001"/>
        <n v="1117"/>
        <n v="1040"/>
        <n v="1760"/>
        <n v="1357"/>
        <n v="1093"/>
        <n v="3841"/>
        <n v="1339"/>
        <n v="3230"/>
        <n v="3969"/>
        <n v="1942"/>
        <n v="2965"/>
        <n v="2938"/>
        <n v="3619"/>
        <n v="2157"/>
        <n v="1751"/>
        <n v="993"/>
        <n v="1727"/>
        <n v="978"/>
        <n v="1506"/>
        <n v="3593"/>
        <n v="3685"/>
        <n v="272"/>
        <n v="1507"/>
        <n v="1129"/>
        <n v="2215"/>
        <n v="3205"/>
        <n v="1886"/>
        <n v="3059"/>
        <n v="680"/>
        <n v="2968"/>
        <n v="2387"/>
        <n v="3203"/>
        <n v="3647"/>
        <n v="2290"/>
        <n v="1575"/>
        <n v="1525"/>
        <n v="921"/>
        <n v="2977"/>
        <n v="759"/>
        <n v="1549"/>
        <n v="2752"/>
        <n v="2612"/>
        <n v="2279"/>
        <n v="1711"/>
        <n v="2800"/>
        <n v="1680"/>
        <n v="3191"/>
        <n v="944"/>
        <n v="3414"/>
        <n v="1666"/>
        <n v="2309"/>
        <n v="2026"/>
        <n v="299"/>
        <n v="1777"/>
        <n v="857"/>
        <n v="1601"/>
        <n v="3714"/>
        <n v="797"/>
        <n v="1031"/>
        <n v="2859"/>
        <n v="951"/>
        <n v="1606"/>
        <n v="1823"/>
        <n v="1347"/>
        <n v="3630"/>
        <n v="1789"/>
        <n v="707"/>
        <n v="855"/>
        <n v="457"/>
        <n v="3884"/>
        <n v="3903"/>
        <n v="612"/>
        <n v="1675"/>
        <n v="1288"/>
        <n v="3172"/>
        <n v="3615"/>
        <n v="2260"/>
        <n v="3869"/>
        <n v="1090"/>
        <n v="3851"/>
        <n v="3472"/>
        <n v="3415"/>
        <n v="1882"/>
        <n v="1581"/>
        <n v="2391"/>
        <n v="3676"/>
        <n v="3694"/>
        <n v="3058"/>
        <n v="3313"/>
        <n v="2379"/>
        <n v="2084"/>
        <n v="794"/>
        <n v="1469"/>
        <n v="1364"/>
        <n v="3626"/>
        <n v="1377"/>
        <n v="465"/>
        <n v="2218"/>
        <n v="2543"/>
        <n v="3602"/>
        <n v="1996"/>
        <n v="1960"/>
        <n v="3752"/>
        <n v="764"/>
        <n v="1892"/>
        <n v="3211"/>
        <n v="1020"/>
        <n v="2586"/>
        <n v="3213"/>
        <n v="3111"/>
        <n v="3118"/>
        <n v="1302"/>
        <n v="1538"/>
        <n v="2657"/>
        <n v="861"/>
        <n v="3816"/>
        <n v="1321"/>
        <n v="1146"/>
        <n v="3424"/>
        <n v="1157"/>
        <n v="3861"/>
        <n v="963"/>
        <n v="877"/>
        <n v="1699"/>
        <n v="2899"/>
        <n v="1628"/>
        <n v="869"/>
        <n v="2552"/>
        <n v="3703"/>
        <n v="3317"/>
        <n v="3896"/>
        <n v="2314"/>
        <n v="2451"/>
        <n v="1748"/>
        <n v="1116"/>
        <n v="766"/>
        <n v="3152"/>
        <n v="2901"/>
        <n v="3010"/>
        <n v="2615"/>
        <n v="1230"/>
        <n v="2128"/>
        <n v="1358"/>
        <n v="1169"/>
        <n v="2542"/>
        <n v="1471"/>
        <n v="1153"/>
        <n v="2663"/>
        <n v="2149"/>
        <n v="1067"/>
        <n v="2733"/>
        <n v="3084"/>
        <n v="778"/>
        <n v="2897"/>
        <n v="929"/>
        <n v="809"/>
        <n v="3474"/>
        <n v="3283"/>
        <n v="1810"/>
        <n v="3107"/>
        <n v="940"/>
        <n v="2820"/>
        <n v="2780"/>
        <n v="3726"/>
        <n v="2459"/>
        <n v="2619"/>
        <n v="1407"/>
        <n v="1408"/>
        <n v="1660"/>
        <n v="613"/>
        <n v="3800"/>
        <n v="3061"/>
        <n v="1888"/>
        <n v="1461"/>
        <n v="1815"/>
        <n v="1857"/>
        <n v="3083"/>
        <n v="1801"/>
        <n v="224"/>
        <n v="3251"/>
        <n v="2382"/>
        <n v="3759"/>
        <n v="483"/>
        <n v="2171"/>
        <n v="1672"/>
        <n v="2595"/>
        <n v="3023"/>
        <n v="3701"/>
        <n v="3642"/>
        <n v="2479"/>
        <n v="1798"/>
        <n v="2888"/>
        <n v="925"/>
        <n v="1080"/>
        <n v="1307"/>
        <n v="3663"/>
        <n v="2353"/>
        <n v="500"/>
        <n v="3721"/>
        <n v="2873"/>
        <n v="2394"/>
        <n v="1291"/>
        <n v="3451"/>
        <n v="1007"/>
        <n v="2082"/>
        <n v="3115"/>
        <n v="1162"/>
        <n v="1365"/>
        <n v="3332"/>
        <n v="1915"/>
        <n v="3290"/>
        <n v="1016"/>
        <n v="3768"/>
        <n v="1360"/>
        <n v="3959"/>
        <n v="890"/>
        <n v="2130"/>
        <n v="1730"/>
        <n v="1774"/>
        <n v="2933"/>
        <n v="3489"/>
        <n v="770"/>
        <n v="1387"/>
        <n v="1631"/>
        <n v="750"/>
        <n v="2569"/>
        <n v="3949"/>
        <n v="282"/>
        <n v="2992"/>
        <n v="1717"/>
        <n v="3607"/>
        <n v="3477"/>
        <n v="1576"/>
        <n v="1873"/>
        <n v="2891"/>
        <n v="1050"/>
        <n v="1643"/>
        <n v="2011"/>
        <n v="3799"/>
        <n v="2808"/>
        <n v="2004"/>
        <n v="1296"/>
        <n v="2371"/>
        <n v="1460"/>
        <n v="1290"/>
        <n v="245"/>
        <n v="2225"/>
        <n v="2023"/>
        <n v="2630"/>
        <n v="3232"/>
        <n v="1324"/>
        <n v="2880"/>
        <n v="3589"/>
        <n v="3019"/>
        <n v="3945"/>
        <n v="1061"/>
        <n v="3017"/>
        <n v="817"/>
        <m/>
      </sharedItems>
    </cacheField>
    <cacheField name="Age_Band" numFmtId="0">
      <sharedItems containsBlank="1"/>
    </cacheField>
    <cacheField name="Data_Quality_Flag"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2">
  <r>
    <n v="1001"/>
    <x v="0"/>
    <x v="0"/>
    <x v="0"/>
    <x v="0"/>
    <x v="0"/>
    <n v="3459"/>
    <n v="3"/>
    <n v="12"/>
    <d v="2024-03-12T00:00:00"/>
    <n v="45363"/>
    <x v="0"/>
    <x v="0"/>
    <s v="50+"/>
    <s v=""/>
  </r>
  <r>
    <n v="1002"/>
    <x v="1"/>
    <x v="1"/>
    <x v="1"/>
    <x v="0"/>
    <x v="1"/>
    <n v="8671"/>
    <n v="4"/>
    <n v="18"/>
    <m/>
    <s v=""/>
    <x v="1"/>
    <x v="1"/>
    <s v="30-39"/>
    <s v=""/>
  </r>
  <r>
    <n v="1003"/>
    <x v="2"/>
    <x v="0"/>
    <x v="2"/>
    <x v="0"/>
    <x v="2"/>
    <n v="7966"/>
    <n v="2"/>
    <n v="16"/>
    <m/>
    <s v=""/>
    <x v="1"/>
    <x v="2"/>
    <s v="Under 30"/>
    <s v=""/>
  </r>
  <r>
    <n v="1004"/>
    <x v="3"/>
    <x v="1"/>
    <x v="1"/>
    <x v="0"/>
    <x v="3"/>
    <n v="4810"/>
    <n v="1"/>
    <n v="20"/>
    <m/>
    <s v=""/>
    <x v="1"/>
    <x v="3"/>
    <s v="30-39"/>
    <s v=""/>
  </r>
  <r>
    <n v="1005"/>
    <x v="3"/>
    <x v="1"/>
    <x v="3"/>
    <x v="0"/>
    <x v="4"/>
    <n v="3198"/>
    <n v="5"/>
    <n v="13"/>
    <m/>
    <s v=""/>
    <x v="1"/>
    <x v="4"/>
    <s v="40-49"/>
    <s v=""/>
  </r>
  <r>
    <n v="1006"/>
    <x v="1"/>
    <x v="1"/>
    <x v="4"/>
    <x v="0"/>
    <x v="5"/>
    <n v="4533"/>
    <n v="3"/>
    <n v="11"/>
    <m/>
    <s v=""/>
    <x v="1"/>
    <x v="5"/>
    <s v="40-49"/>
    <s v=""/>
  </r>
  <r>
    <n v="1007"/>
    <x v="1"/>
    <x v="1"/>
    <x v="5"/>
    <x v="0"/>
    <x v="6"/>
    <n v="8478"/>
    <n v="1"/>
    <n v="20"/>
    <d v="2026-09-10T00:00:00"/>
    <n v="46275"/>
    <x v="0"/>
    <x v="6"/>
    <s v="50+"/>
    <s v=""/>
  </r>
  <r>
    <n v="1008"/>
    <x v="3"/>
    <x v="0"/>
    <x v="0"/>
    <x v="0"/>
    <x v="7"/>
    <n v="4925"/>
    <n v="5"/>
    <n v="11"/>
    <m/>
    <s v=""/>
    <x v="1"/>
    <x v="7"/>
    <s v="50+"/>
    <s v=""/>
  </r>
  <r>
    <n v="1009"/>
    <x v="3"/>
    <x v="0"/>
    <x v="6"/>
    <x v="0"/>
    <x v="8"/>
    <n v="4971"/>
    <n v="5"/>
    <n v="10"/>
    <m/>
    <s v=""/>
    <x v="1"/>
    <x v="8"/>
    <s v="Under 30"/>
    <s v=""/>
  </r>
  <r>
    <n v="1010"/>
    <x v="0"/>
    <x v="1"/>
    <x v="7"/>
    <x v="0"/>
    <x v="9"/>
    <n v="2874"/>
    <n v="4"/>
    <n v="6"/>
    <m/>
    <s v=""/>
    <x v="1"/>
    <x v="9"/>
    <s v="40-49"/>
    <s v=""/>
  </r>
  <r>
    <n v="1011"/>
    <x v="4"/>
    <x v="1"/>
    <x v="8"/>
    <x v="1"/>
    <x v="10"/>
    <n v="9080"/>
    <n v="4"/>
    <n v="3"/>
    <m/>
    <s v=""/>
    <x v="1"/>
    <x v="10"/>
    <s v="30-39"/>
    <s v=""/>
  </r>
  <r>
    <n v="1012"/>
    <x v="2"/>
    <x v="1"/>
    <x v="9"/>
    <x v="0"/>
    <x v="11"/>
    <n v="7497"/>
    <n v="4"/>
    <n v="18"/>
    <d v="2023-03-17T00:00:00"/>
    <n v="45002"/>
    <x v="0"/>
    <x v="11"/>
    <s v="50+"/>
    <s v=""/>
  </r>
  <r>
    <n v="1013"/>
    <x v="5"/>
    <x v="1"/>
    <x v="10"/>
    <x v="0"/>
    <x v="12"/>
    <n v="6271"/>
    <n v="1"/>
    <n v="0"/>
    <m/>
    <s v=""/>
    <x v="1"/>
    <x v="12"/>
    <s v="50+"/>
    <s v=""/>
  </r>
  <r>
    <n v="1014"/>
    <x v="4"/>
    <x v="2"/>
    <x v="11"/>
    <x v="0"/>
    <x v="13"/>
    <n v="3636"/>
    <n v="1"/>
    <n v="2"/>
    <m/>
    <s v=""/>
    <x v="1"/>
    <x v="13"/>
    <s v="30-39"/>
    <s v=""/>
  </r>
  <r>
    <n v="1015"/>
    <x v="1"/>
    <x v="1"/>
    <x v="12"/>
    <x v="0"/>
    <x v="14"/>
    <n v="8424"/>
    <n v="3"/>
    <n v="12"/>
    <m/>
    <s v=""/>
    <x v="1"/>
    <x v="14"/>
    <s v="50+"/>
    <s v=""/>
  </r>
  <r>
    <n v="1016"/>
    <x v="3"/>
    <x v="1"/>
    <x v="13"/>
    <x v="1"/>
    <x v="15"/>
    <n v="3299"/>
    <n v="4"/>
    <n v="14"/>
    <m/>
    <s v=""/>
    <x v="1"/>
    <x v="15"/>
    <s v="Under 30"/>
    <s v=""/>
  </r>
  <r>
    <n v="1017"/>
    <x v="4"/>
    <x v="1"/>
    <x v="14"/>
    <x v="0"/>
    <x v="16"/>
    <n v="8492"/>
    <n v="5"/>
    <n v="1"/>
    <m/>
    <s v=""/>
    <x v="1"/>
    <x v="16"/>
    <s v="30-39"/>
    <s v=""/>
  </r>
  <r>
    <n v="1018"/>
    <x v="2"/>
    <x v="0"/>
    <x v="15"/>
    <x v="2"/>
    <x v="17"/>
    <n v="2937"/>
    <n v="2"/>
    <n v="10"/>
    <m/>
    <s v=""/>
    <x v="1"/>
    <x v="17"/>
    <s v="50+"/>
    <s v=""/>
  </r>
  <r>
    <n v="1019"/>
    <x v="1"/>
    <x v="2"/>
    <x v="16"/>
    <x v="0"/>
    <x v="18"/>
    <n v="4897"/>
    <n v="3"/>
    <n v="3"/>
    <d v="2017-02-27T00:00:00"/>
    <n v="42793"/>
    <x v="0"/>
    <x v="18"/>
    <s v="40-49"/>
    <s v=""/>
  </r>
  <r>
    <n v="1020"/>
    <x v="5"/>
    <x v="0"/>
    <x v="17"/>
    <x v="0"/>
    <x v="19"/>
    <n v="8690"/>
    <n v="1"/>
    <n v="18"/>
    <m/>
    <s v=""/>
    <x v="1"/>
    <x v="19"/>
    <s v="50+"/>
    <s v=""/>
  </r>
  <r>
    <n v="1021"/>
    <x v="5"/>
    <x v="0"/>
    <x v="18"/>
    <x v="0"/>
    <x v="20"/>
    <n v="7868"/>
    <n v="3"/>
    <n v="16"/>
    <m/>
    <s v=""/>
    <x v="1"/>
    <x v="20"/>
    <s v="40-49"/>
    <s v=""/>
  </r>
  <r>
    <n v="1022"/>
    <x v="2"/>
    <x v="0"/>
    <x v="19"/>
    <x v="2"/>
    <x v="21"/>
    <n v="8538"/>
    <n v="3"/>
    <n v="2"/>
    <m/>
    <s v=""/>
    <x v="1"/>
    <x v="21"/>
    <s v="40-49"/>
    <s v=""/>
  </r>
  <r>
    <n v="1023"/>
    <x v="2"/>
    <x v="1"/>
    <x v="5"/>
    <x v="0"/>
    <x v="22"/>
    <n v="6496"/>
    <n v="3"/>
    <n v="17"/>
    <m/>
    <s v=""/>
    <x v="1"/>
    <x v="22"/>
    <s v="50+"/>
    <s v=""/>
  </r>
  <r>
    <n v="1024"/>
    <x v="3"/>
    <x v="0"/>
    <x v="20"/>
    <x v="0"/>
    <x v="23"/>
    <n v="4685"/>
    <n v="3"/>
    <n v="7"/>
    <m/>
    <s v=""/>
    <x v="1"/>
    <x v="23"/>
    <s v="Under 30"/>
    <s v=""/>
  </r>
  <r>
    <n v="1025"/>
    <x v="5"/>
    <x v="0"/>
    <x v="7"/>
    <x v="1"/>
    <x v="24"/>
    <n v="9197"/>
    <n v="2"/>
    <n v="18"/>
    <d v="2019-11-02T00:00:00"/>
    <n v="43771"/>
    <x v="0"/>
    <x v="24"/>
    <s v="40-49"/>
    <s v=""/>
  </r>
  <r>
    <n v="1026"/>
    <x v="1"/>
    <x v="0"/>
    <x v="19"/>
    <x v="0"/>
    <x v="25"/>
    <n v="8924"/>
    <n v="4"/>
    <n v="4"/>
    <m/>
    <s v=""/>
    <x v="1"/>
    <x v="25"/>
    <s v="40-49"/>
    <s v=""/>
  </r>
  <r>
    <n v="1027"/>
    <x v="4"/>
    <x v="0"/>
    <x v="18"/>
    <x v="0"/>
    <x v="26"/>
    <n v="5557"/>
    <n v="5"/>
    <n v="6"/>
    <m/>
    <s v=""/>
    <x v="1"/>
    <x v="26"/>
    <s v="40-49"/>
    <s v=""/>
  </r>
  <r>
    <n v="1028"/>
    <x v="1"/>
    <x v="0"/>
    <x v="0"/>
    <x v="0"/>
    <x v="27"/>
    <n v="6720"/>
    <n v="3"/>
    <n v="20"/>
    <m/>
    <s v=""/>
    <x v="1"/>
    <x v="27"/>
    <s v="50+"/>
    <s v=""/>
  </r>
  <r>
    <n v="1029"/>
    <x v="0"/>
    <x v="0"/>
    <x v="21"/>
    <x v="1"/>
    <x v="28"/>
    <n v="4700"/>
    <n v="3"/>
    <n v="7"/>
    <m/>
    <s v=""/>
    <x v="1"/>
    <x v="28"/>
    <s v="50+"/>
    <s v=""/>
  </r>
  <r>
    <n v="1030"/>
    <x v="0"/>
    <x v="2"/>
    <x v="22"/>
    <x v="0"/>
    <x v="29"/>
    <n v="5410"/>
    <n v="3"/>
    <n v="4"/>
    <m/>
    <s v=""/>
    <x v="1"/>
    <x v="29"/>
    <s v="50+"/>
    <s v=""/>
  </r>
  <r>
    <n v="1031"/>
    <x v="2"/>
    <x v="0"/>
    <x v="21"/>
    <x v="0"/>
    <x v="30"/>
    <n v="6786"/>
    <n v="4"/>
    <n v="16"/>
    <m/>
    <s v=""/>
    <x v="1"/>
    <x v="30"/>
    <s v="50+"/>
    <s v=""/>
  </r>
  <r>
    <n v="1032"/>
    <x v="3"/>
    <x v="0"/>
    <x v="23"/>
    <x v="2"/>
    <x v="31"/>
    <n v="4249"/>
    <n v="1"/>
    <n v="4"/>
    <d v="2024-03-12T00:00:00"/>
    <n v="45363"/>
    <x v="0"/>
    <x v="31"/>
    <s v="Under 30"/>
    <s v=""/>
  </r>
  <r>
    <n v="1033"/>
    <x v="0"/>
    <x v="0"/>
    <x v="11"/>
    <x v="0"/>
    <x v="32"/>
    <n v="3346"/>
    <n v="1"/>
    <n v="3"/>
    <m/>
    <s v=""/>
    <x v="1"/>
    <x v="32"/>
    <s v="30-39"/>
    <s v=""/>
  </r>
  <r>
    <n v="1034"/>
    <x v="5"/>
    <x v="1"/>
    <x v="22"/>
    <x v="0"/>
    <x v="33"/>
    <n v="7817"/>
    <n v="2"/>
    <n v="18"/>
    <m/>
    <s v=""/>
    <x v="1"/>
    <x v="33"/>
    <s v="50+"/>
    <s v=""/>
  </r>
  <r>
    <n v="1035"/>
    <x v="1"/>
    <x v="0"/>
    <x v="21"/>
    <x v="0"/>
    <x v="34"/>
    <n v="7476"/>
    <n v="1"/>
    <n v="20"/>
    <d v="2022-11-27T00:00:00"/>
    <n v="44892"/>
    <x v="0"/>
    <x v="34"/>
    <s v="50+"/>
    <s v=""/>
  </r>
  <r>
    <n v="1036"/>
    <x v="1"/>
    <x v="1"/>
    <x v="2"/>
    <x v="0"/>
    <x v="35"/>
    <n v="8268"/>
    <n v="3"/>
    <n v="1"/>
    <d v="2020-06-19T00:00:00"/>
    <n v="44001"/>
    <x v="0"/>
    <x v="35"/>
    <s v="Under 30"/>
    <s v=""/>
  </r>
  <r>
    <n v="1037"/>
    <x v="2"/>
    <x v="0"/>
    <x v="24"/>
    <x v="2"/>
    <x v="36"/>
    <n v="8852"/>
    <n v="3"/>
    <n v="10"/>
    <m/>
    <s v=""/>
    <x v="1"/>
    <x v="36"/>
    <s v="50+"/>
    <s v=""/>
  </r>
  <r>
    <n v="1038"/>
    <x v="4"/>
    <x v="2"/>
    <x v="14"/>
    <x v="2"/>
    <x v="37"/>
    <n v="4803"/>
    <n v="3"/>
    <n v="12"/>
    <m/>
    <s v=""/>
    <x v="1"/>
    <x v="37"/>
    <s v="30-39"/>
    <s v=""/>
  </r>
  <r>
    <n v="1039"/>
    <x v="2"/>
    <x v="0"/>
    <x v="6"/>
    <x v="0"/>
    <x v="38"/>
    <n v="4896"/>
    <n v="2"/>
    <n v="14"/>
    <m/>
    <s v=""/>
    <x v="1"/>
    <x v="38"/>
    <s v="Under 30"/>
    <s v=""/>
  </r>
  <r>
    <n v="1040"/>
    <x v="4"/>
    <x v="1"/>
    <x v="1"/>
    <x v="0"/>
    <x v="39"/>
    <n v="3503"/>
    <n v="3"/>
    <n v="11"/>
    <d v="2024-12-17T00:00:00"/>
    <n v="45643"/>
    <x v="0"/>
    <x v="39"/>
    <s v="30-39"/>
    <s v=""/>
  </r>
  <r>
    <n v="1041"/>
    <x v="2"/>
    <x v="1"/>
    <x v="16"/>
    <x v="0"/>
    <x v="40"/>
    <n v="9204"/>
    <n v="1"/>
    <n v="20"/>
    <m/>
    <s v=""/>
    <x v="1"/>
    <x v="40"/>
    <s v="40-49"/>
    <s v=""/>
  </r>
  <r>
    <n v="1042"/>
    <x v="2"/>
    <x v="1"/>
    <x v="11"/>
    <x v="0"/>
    <x v="41"/>
    <n v="5203"/>
    <n v="4"/>
    <n v="10"/>
    <m/>
    <s v=""/>
    <x v="1"/>
    <x v="41"/>
    <s v="30-39"/>
    <s v=""/>
  </r>
  <r>
    <n v="1043"/>
    <x v="2"/>
    <x v="0"/>
    <x v="12"/>
    <x v="0"/>
    <x v="42"/>
    <n v="4425"/>
    <n v="4"/>
    <n v="6"/>
    <m/>
    <s v=""/>
    <x v="1"/>
    <x v="42"/>
    <s v="50+"/>
    <s v=""/>
  </r>
  <r>
    <n v="1044"/>
    <x v="4"/>
    <x v="1"/>
    <x v="9"/>
    <x v="0"/>
    <x v="43"/>
    <n v="6131"/>
    <n v="5"/>
    <n v="4"/>
    <m/>
    <s v=""/>
    <x v="1"/>
    <x v="43"/>
    <s v="50+"/>
    <s v=""/>
  </r>
  <r>
    <n v="1045"/>
    <x v="4"/>
    <x v="1"/>
    <x v="25"/>
    <x v="0"/>
    <x v="44"/>
    <n v="7533"/>
    <n v="1"/>
    <n v="16"/>
    <m/>
    <s v=""/>
    <x v="1"/>
    <x v="44"/>
    <s v="40-49"/>
    <s v=""/>
  </r>
  <r>
    <n v="1046"/>
    <x v="2"/>
    <x v="1"/>
    <x v="26"/>
    <x v="0"/>
    <x v="45"/>
    <n v="7905"/>
    <n v="3"/>
    <n v="19"/>
    <m/>
    <s v=""/>
    <x v="1"/>
    <x v="45"/>
    <s v="Under 30"/>
    <s v=""/>
  </r>
  <r>
    <n v="1047"/>
    <x v="0"/>
    <x v="0"/>
    <x v="21"/>
    <x v="0"/>
    <x v="46"/>
    <n v="5778"/>
    <n v="4"/>
    <n v="8"/>
    <m/>
    <s v=""/>
    <x v="1"/>
    <x v="46"/>
    <s v="50+"/>
    <s v=""/>
  </r>
  <r>
    <n v="1048"/>
    <x v="3"/>
    <x v="0"/>
    <x v="15"/>
    <x v="0"/>
    <x v="47"/>
    <n v="7536"/>
    <n v="1"/>
    <n v="13"/>
    <m/>
    <s v=""/>
    <x v="1"/>
    <x v="47"/>
    <s v="50+"/>
    <s v=""/>
  </r>
  <r>
    <n v="1049"/>
    <x v="3"/>
    <x v="1"/>
    <x v="27"/>
    <x v="0"/>
    <x v="48"/>
    <n v="5639"/>
    <n v="4"/>
    <n v="11"/>
    <m/>
    <s v=""/>
    <x v="1"/>
    <x v="48"/>
    <s v="40-49"/>
    <s v=""/>
  </r>
  <r>
    <n v="1050"/>
    <x v="3"/>
    <x v="1"/>
    <x v="28"/>
    <x v="2"/>
    <x v="49"/>
    <n v="6184"/>
    <n v="3"/>
    <n v="5"/>
    <m/>
    <s v=""/>
    <x v="1"/>
    <x v="49"/>
    <s v="30-39"/>
    <s v=""/>
  </r>
  <r>
    <n v="1051"/>
    <x v="4"/>
    <x v="0"/>
    <x v="28"/>
    <x v="0"/>
    <x v="50"/>
    <n v="5459"/>
    <n v="4"/>
    <n v="16"/>
    <m/>
    <s v=""/>
    <x v="1"/>
    <x v="50"/>
    <s v="30-39"/>
    <s v=""/>
  </r>
  <r>
    <n v="1052"/>
    <x v="4"/>
    <x v="0"/>
    <x v="23"/>
    <x v="2"/>
    <x v="51"/>
    <n v="4661"/>
    <n v="5"/>
    <n v="18"/>
    <d v="2018-12-14T00:00:00"/>
    <n v="43448"/>
    <x v="0"/>
    <x v="51"/>
    <s v="Under 30"/>
    <s v=""/>
  </r>
  <r>
    <n v="1053"/>
    <x v="0"/>
    <x v="0"/>
    <x v="5"/>
    <x v="2"/>
    <x v="52"/>
    <n v="5656"/>
    <n v="5"/>
    <n v="18"/>
    <d v="2024-11-24T00:00:00"/>
    <n v="45620"/>
    <x v="0"/>
    <x v="52"/>
    <s v="50+"/>
    <s v=""/>
  </r>
  <r>
    <n v="1054"/>
    <x v="3"/>
    <x v="1"/>
    <x v="29"/>
    <x v="0"/>
    <x v="53"/>
    <n v="8101"/>
    <n v="4"/>
    <n v="15"/>
    <d v="2022-05-06T00:00:00"/>
    <n v="44687"/>
    <x v="0"/>
    <x v="53"/>
    <s v="Under 30"/>
    <s v=""/>
  </r>
  <r>
    <n v="1055"/>
    <x v="3"/>
    <x v="0"/>
    <x v="30"/>
    <x v="2"/>
    <x v="54"/>
    <n v="3485"/>
    <n v="1"/>
    <n v="11"/>
    <m/>
    <s v=""/>
    <x v="1"/>
    <x v="54"/>
    <s v="50+"/>
    <s v=""/>
  </r>
  <r>
    <n v="1056"/>
    <x v="2"/>
    <x v="0"/>
    <x v="28"/>
    <x v="0"/>
    <x v="55"/>
    <n v="8747"/>
    <n v="1"/>
    <n v="11"/>
    <m/>
    <s v=""/>
    <x v="1"/>
    <x v="55"/>
    <s v="30-39"/>
    <s v=""/>
  </r>
  <r>
    <n v="1057"/>
    <x v="4"/>
    <x v="0"/>
    <x v="24"/>
    <x v="0"/>
    <x v="56"/>
    <n v="7083"/>
    <n v="1"/>
    <n v="19"/>
    <d v="2020-11-20T00:00:00"/>
    <n v="44155"/>
    <x v="0"/>
    <x v="56"/>
    <s v="50+"/>
    <s v=""/>
  </r>
  <r>
    <n v="1058"/>
    <x v="3"/>
    <x v="0"/>
    <x v="31"/>
    <x v="0"/>
    <x v="57"/>
    <n v="4419"/>
    <n v="4"/>
    <n v="5"/>
    <m/>
    <s v=""/>
    <x v="1"/>
    <x v="57"/>
    <s v="40-49"/>
    <s v=""/>
  </r>
  <r>
    <n v="1059"/>
    <x v="1"/>
    <x v="1"/>
    <x v="19"/>
    <x v="0"/>
    <x v="58"/>
    <n v="8583"/>
    <n v="1"/>
    <n v="3"/>
    <m/>
    <s v=""/>
    <x v="1"/>
    <x v="58"/>
    <s v="40-49"/>
    <s v=""/>
  </r>
  <r>
    <n v="1060"/>
    <x v="0"/>
    <x v="1"/>
    <x v="23"/>
    <x v="0"/>
    <x v="59"/>
    <n v="7880"/>
    <n v="3"/>
    <n v="5"/>
    <m/>
    <s v=""/>
    <x v="1"/>
    <x v="59"/>
    <s v="Under 30"/>
    <s v=""/>
  </r>
  <r>
    <n v="1061"/>
    <x v="1"/>
    <x v="0"/>
    <x v="24"/>
    <x v="0"/>
    <x v="60"/>
    <n v="7443"/>
    <n v="5"/>
    <n v="10"/>
    <m/>
    <s v=""/>
    <x v="1"/>
    <x v="60"/>
    <s v="50+"/>
    <s v=""/>
  </r>
  <r>
    <n v="1062"/>
    <x v="1"/>
    <x v="0"/>
    <x v="2"/>
    <x v="0"/>
    <x v="61"/>
    <n v="4231"/>
    <n v="3"/>
    <n v="0"/>
    <m/>
    <s v=""/>
    <x v="1"/>
    <x v="61"/>
    <s v="Under 30"/>
    <s v=""/>
  </r>
  <r>
    <n v="1063"/>
    <x v="0"/>
    <x v="0"/>
    <x v="32"/>
    <x v="0"/>
    <x v="62"/>
    <n v="3675"/>
    <n v="1"/>
    <n v="14"/>
    <d v="2027-03-02T00:00:00"/>
    <n v="46448"/>
    <x v="0"/>
    <x v="62"/>
    <s v="30-39"/>
    <s v=""/>
  </r>
  <r>
    <n v="1064"/>
    <x v="1"/>
    <x v="0"/>
    <x v="31"/>
    <x v="0"/>
    <x v="63"/>
    <n v="7513"/>
    <n v="3"/>
    <n v="10"/>
    <m/>
    <s v=""/>
    <x v="1"/>
    <x v="63"/>
    <s v="40-49"/>
    <s v=""/>
  </r>
  <r>
    <n v="1065"/>
    <x v="3"/>
    <x v="0"/>
    <x v="7"/>
    <x v="0"/>
    <x v="64"/>
    <n v="5261"/>
    <n v="1"/>
    <n v="18"/>
    <m/>
    <s v=""/>
    <x v="1"/>
    <x v="64"/>
    <s v="40-49"/>
    <s v=""/>
  </r>
  <r>
    <n v="1066"/>
    <x v="4"/>
    <x v="0"/>
    <x v="23"/>
    <x v="0"/>
    <x v="65"/>
    <n v="4165"/>
    <n v="4"/>
    <n v="17"/>
    <m/>
    <s v=""/>
    <x v="1"/>
    <x v="65"/>
    <s v="Under 30"/>
    <s v=""/>
  </r>
  <r>
    <n v="1067"/>
    <x v="0"/>
    <x v="1"/>
    <x v="9"/>
    <x v="0"/>
    <x v="66"/>
    <n v="4043"/>
    <n v="3"/>
    <n v="16"/>
    <m/>
    <s v=""/>
    <x v="1"/>
    <x v="66"/>
    <s v="50+"/>
    <s v=""/>
  </r>
  <r>
    <n v="1068"/>
    <x v="2"/>
    <x v="0"/>
    <x v="5"/>
    <x v="2"/>
    <x v="67"/>
    <n v="7798"/>
    <n v="4"/>
    <n v="18"/>
    <m/>
    <s v=""/>
    <x v="1"/>
    <x v="67"/>
    <s v="50+"/>
    <s v=""/>
  </r>
  <r>
    <n v="1069"/>
    <x v="1"/>
    <x v="1"/>
    <x v="29"/>
    <x v="0"/>
    <x v="68"/>
    <n v="2962"/>
    <n v="4"/>
    <n v="20"/>
    <d v="2025-12-06T00:00:00"/>
    <n v="45997"/>
    <x v="0"/>
    <x v="68"/>
    <s v="Under 30"/>
    <s v=""/>
  </r>
  <r>
    <n v="1070"/>
    <x v="0"/>
    <x v="1"/>
    <x v="33"/>
    <x v="0"/>
    <x v="69"/>
    <n v="4774"/>
    <n v="2"/>
    <n v="13"/>
    <d v="2019-01-09T00:00:00"/>
    <n v="43474"/>
    <x v="0"/>
    <x v="69"/>
    <s v="Under 30"/>
    <s v=""/>
  </r>
  <r>
    <n v="1071"/>
    <x v="5"/>
    <x v="2"/>
    <x v="14"/>
    <x v="0"/>
    <x v="70"/>
    <n v="6091"/>
    <n v="1"/>
    <n v="17"/>
    <m/>
    <s v=""/>
    <x v="1"/>
    <x v="70"/>
    <s v="30-39"/>
    <s v=""/>
  </r>
  <r>
    <n v="1072"/>
    <x v="5"/>
    <x v="1"/>
    <x v="21"/>
    <x v="0"/>
    <x v="71"/>
    <n v="3069"/>
    <n v="5"/>
    <n v="18"/>
    <m/>
    <s v=""/>
    <x v="1"/>
    <x v="71"/>
    <s v="50+"/>
    <s v=""/>
  </r>
  <r>
    <n v="1073"/>
    <x v="4"/>
    <x v="1"/>
    <x v="27"/>
    <x v="1"/>
    <x v="72"/>
    <n v="3431"/>
    <n v="1"/>
    <n v="14"/>
    <d v="2026-12-09T00:00:00"/>
    <n v="46365"/>
    <x v="0"/>
    <x v="72"/>
    <s v="40-49"/>
    <s v=""/>
  </r>
  <r>
    <n v="1074"/>
    <x v="3"/>
    <x v="1"/>
    <x v="17"/>
    <x v="0"/>
    <x v="73"/>
    <n v="3705"/>
    <n v="5"/>
    <n v="14"/>
    <m/>
    <s v=""/>
    <x v="1"/>
    <x v="73"/>
    <s v="50+"/>
    <s v=""/>
  </r>
  <r>
    <n v="1075"/>
    <x v="4"/>
    <x v="0"/>
    <x v="34"/>
    <x v="2"/>
    <x v="74"/>
    <n v="6271"/>
    <n v="1"/>
    <n v="3"/>
    <m/>
    <s v=""/>
    <x v="1"/>
    <x v="74"/>
    <s v="30-39"/>
    <s v=""/>
  </r>
  <r>
    <n v="1076"/>
    <x v="4"/>
    <x v="1"/>
    <x v="8"/>
    <x v="0"/>
    <x v="66"/>
    <n v="6053"/>
    <n v="4"/>
    <n v="6"/>
    <m/>
    <s v=""/>
    <x v="1"/>
    <x v="66"/>
    <s v="30-39"/>
    <s v=""/>
  </r>
  <r>
    <n v="1077"/>
    <x v="4"/>
    <x v="1"/>
    <x v="6"/>
    <x v="0"/>
    <x v="75"/>
    <n v="4814"/>
    <n v="3"/>
    <n v="12"/>
    <m/>
    <s v=""/>
    <x v="1"/>
    <x v="75"/>
    <s v="Under 30"/>
    <s v=""/>
  </r>
  <r>
    <n v="1078"/>
    <x v="4"/>
    <x v="1"/>
    <x v="28"/>
    <x v="0"/>
    <x v="76"/>
    <n v="4441"/>
    <n v="3"/>
    <n v="2"/>
    <m/>
    <s v=""/>
    <x v="1"/>
    <x v="76"/>
    <s v="30-39"/>
    <s v=""/>
  </r>
  <r>
    <n v="1079"/>
    <x v="2"/>
    <x v="1"/>
    <x v="35"/>
    <x v="0"/>
    <x v="77"/>
    <n v="3004"/>
    <n v="2"/>
    <n v="15"/>
    <m/>
    <s v=""/>
    <x v="1"/>
    <x v="77"/>
    <s v="30-39"/>
    <s v=""/>
  </r>
  <r>
    <n v="1080"/>
    <x v="2"/>
    <x v="1"/>
    <x v="8"/>
    <x v="0"/>
    <x v="78"/>
    <n v="3381"/>
    <n v="5"/>
    <n v="8"/>
    <d v="2027-11-28T00:00:00"/>
    <n v="46719"/>
    <x v="0"/>
    <x v="78"/>
    <s v="30-39"/>
    <s v=""/>
  </r>
  <r>
    <n v="1081"/>
    <x v="0"/>
    <x v="1"/>
    <x v="10"/>
    <x v="2"/>
    <x v="79"/>
    <n v="8475"/>
    <n v="5"/>
    <n v="7"/>
    <m/>
    <s v=""/>
    <x v="1"/>
    <x v="79"/>
    <s v="50+"/>
    <s v=""/>
  </r>
  <r>
    <n v="1082"/>
    <x v="5"/>
    <x v="0"/>
    <x v="8"/>
    <x v="2"/>
    <x v="80"/>
    <n v="3640"/>
    <n v="5"/>
    <n v="19"/>
    <m/>
    <s v=""/>
    <x v="1"/>
    <x v="80"/>
    <s v="30-39"/>
    <s v=""/>
  </r>
  <r>
    <n v="1083"/>
    <x v="4"/>
    <x v="1"/>
    <x v="14"/>
    <x v="0"/>
    <x v="81"/>
    <n v="8732"/>
    <n v="4"/>
    <n v="12"/>
    <m/>
    <s v=""/>
    <x v="1"/>
    <x v="81"/>
    <s v="30-39"/>
    <s v=""/>
  </r>
  <r>
    <n v="1084"/>
    <x v="0"/>
    <x v="1"/>
    <x v="15"/>
    <x v="1"/>
    <x v="82"/>
    <n v="8147"/>
    <n v="5"/>
    <n v="16"/>
    <m/>
    <s v=""/>
    <x v="1"/>
    <x v="82"/>
    <s v="50+"/>
    <s v=""/>
  </r>
  <r>
    <n v="1085"/>
    <x v="5"/>
    <x v="1"/>
    <x v="33"/>
    <x v="2"/>
    <x v="83"/>
    <n v="4519"/>
    <n v="3"/>
    <n v="16"/>
    <m/>
    <s v=""/>
    <x v="1"/>
    <x v="83"/>
    <s v="Under 30"/>
    <s v=""/>
  </r>
  <r>
    <n v="1086"/>
    <x v="1"/>
    <x v="1"/>
    <x v="29"/>
    <x v="0"/>
    <x v="84"/>
    <n v="8538"/>
    <n v="4"/>
    <n v="16"/>
    <m/>
    <s v=""/>
    <x v="1"/>
    <x v="84"/>
    <s v="Under 30"/>
    <s v=""/>
  </r>
  <r>
    <n v="1087"/>
    <x v="3"/>
    <x v="0"/>
    <x v="19"/>
    <x v="0"/>
    <x v="85"/>
    <n v="5443"/>
    <n v="1"/>
    <n v="0"/>
    <m/>
    <s v=""/>
    <x v="1"/>
    <x v="85"/>
    <s v="40-49"/>
    <s v=""/>
  </r>
  <r>
    <n v="1088"/>
    <x v="2"/>
    <x v="0"/>
    <x v="26"/>
    <x v="0"/>
    <x v="86"/>
    <n v="5097"/>
    <n v="5"/>
    <n v="7"/>
    <m/>
    <s v=""/>
    <x v="1"/>
    <x v="86"/>
    <s v="Under 30"/>
    <s v=""/>
  </r>
  <r>
    <n v="1089"/>
    <x v="1"/>
    <x v="1"/>
    <x v="14"/>
    <x v="0"/>
    <x v="87"/>
    <n v="3674"/>
    <n v="5"/>
    <n v="18"/>
    <d v="2026-09-09T00:00:00"/>
    <n v="46274"/>
    <x v="0"/>
    <x v="87"/>
    <s v="30-39"/>
    <s v=""/>
  </r>
  <r>
    <n v="1090"/>
    <x v="5"/>
    <x v="1"/>
    <x v="33"/>
    <x v="0"/>
    <x v="88"/>
    <n v="8360"/>
    <n v="1"/>
    <n v="5"/>
    <m/>
    <s v=""/>
    <x v="1"/>
    <x v="88"/>
    <s v="Under 30"/>
    <s v=""/>
  </r>
  <r>
    <n v="1091"/>
    <x v="1"/>
    <x v="1"/>
    <x v="19"/>
    <x v="0"/>
    <x v="89"/>
    <n v="9139"/>
    <n v="5"/>
    <n v="2"/>
    <m/>
    <s v=""/>
    <x v="1"/>
    <x v="89"/>
    <s v="40-49"/>
    <s v=""/>
  </r>
  <r>
    <n v="1092"/>
    <x v="3"/>
    <x v="0"/>
    <x v="7"/>
    <x v="2"/>
    <x v="90"/>
    <n v="3489"/>
    <n v="1"/>
    <n v="4"/>
    <d v="2022-05-20T00:00:00"/>
    <n v="44701"/>
    <x v="0"/>
    <x v="90"/>
    <s v="40-49"/>
    <s v=""/>
  </r>
  <r>
    <n v="1093"/>
    <x v="5"/>
    <x v="0"/>
    <x v="5"/>
    <x v="0"/>
    <x v="91"/>
    <n v="6800"/>
    <n v="4"/>
    <n v="12"/>
    <m/>
    <s v=""/>
    <x v="1"/>
    <x v="91"/>
    <s v="50+"/>
    <s v=""/>
  </r>
  <r>
    <n v="1094"/>
    <x v="1"/>
    <x v="0"/>
    <x v="5"/>
    <x v="0"/>
    <x v="92"/>
    <n v="8906"/>
    <n v="3"/>
    <n v="14"/>
    <m/>
    <s v=""/>
    <x v="1"/>
    <x v="92"/>
    <s v="50+"/>
    <s v=""/>
  </r>
  <r>
    <n v="1095"/>
    <x v="2"/>
    <x v="1"/>
    <x v="14"/>
    <x v="2"/>
    <x v="93"/>
    <n v="5941"/>
    <n v="1"/>
    <n v="13"/>
    <m/>
    <s v=""/>
    <x v="1"/>
    <x v="93"/>
    <s v="30-39"/>
    <s v=""/>
  </r>
  <r>
    <n v="1096"/>
    <x v="2"/>
    <x v="0"/>
    <x v="5"/>
    <x v="2"/>
    <x v="94"/>
    <n v="4222"/>
    <n v="2"/>
    <n v="15"/>
    <m/>
    <s v=""/>
    <x v="1"/>
    <x v="94"/>
    <s v="50+"/>
    <s v=""/>
  </r>
  <r>
    <n v="1097"/>
    <x v="0"/>
    <x v="1"/>
    <x v="7"/>
    <x v="0"/>
    <x v="75"/>
    <n v="8897"/>
    <n v="1"/>
    <n v="17"/>
    <m/>
    <s v=""/>
    <x v="1"/>
    <x v="75"/>
    <s v="40-49"/>
    <s v=""/>
  </r>
  <r>
    <n v="1098"/>
    <x v="1"/>
    <x v="1"/>
    <x v="11"/>
    <x v="2"/>
    <x v="95"/>
    <n v="3471"/>
    <n v="5"/>
    <n v="10"/>
    <m/>
    <s v=""/>
    <x v="1"/>
    <x v="95"/>
    <s v="30-39"/>
    <s v=""/>
  </r>
  <r>
    <n v="1099"/>
    <x v="4"/>
    <x v="1"/>
    <x v="2"/>
    <x v="0"/>
    <x v="96"/>
    <n v="3971"/>
    <n v="4"/>
    <n v="2"/>
    <m/>
    <s v=""/>
    <x v="1"/>
    <x v="96"/>
    <s v="Under 30"/>
    <s v=""/>
  </r>
  <r>
    <n v="1100"/>
    <x v="1"/>
    <x v="1"/>
    <x v="19"/>
    <x v="0"/>
    <x v="97"/>
    <n v="8391"/>
    <n v="4"/>
    <n v="9"/>
    <d v="2017-02-09T00:00:00"/>
    <n v="42775"/>
    <x v="0"/>
    <x v="97"/>
    <s v="40-49"/>
    <s v=""/>
  </r>
  <r>
    <n v="1101"/>
    <x v="5"/>
    <x v="0"/>
    <x v="28"/>
    <x v="0"/>
    <x v="98"/>
    <n v="6526"/>
    <n v="1"/>
    <n v="9"/>
    <m/>
    <s v=""/>
    <x v="1"/>
    <x v="98"/>
    <s v="30-39"/>
    <s v=""/>
  </r>
  <r>
    <n v="1102"/>
    <x v="5"/>
    <x v="0"/>
    <x v="23"/>
    <x v="0"/>
    <x v="99"/>
    <n v="3743"/>
    <n v="3"/>
    <n v="20"/>
    <m/>
    <s v=""/>
    <x v="1"/>
    <x v="99"/>
    <s v="Under 30"/>
    <s v=""/>
  </r>
  <r>
    <n v="1103"/>
    <x v="1"/>
    <x v="1"/>
    <x v="36"/>
    <x v="0"/>
    <x v="100"/>
    <n v="9142"/>
    <n v="2"/>
    <n v="15"/>
    <m/>
    <s v=""/>
    <x v="1"/>
    <x v="100"/>
    <s v="30-39"/>
    <s v=""/>
  </r>
  <r>
    <n v="1104"/>
    <x v="3"/>
    <x v="0"/>
    <x v="5"/>
    <x v="0"/>
    <x v="101"/>
    <n v="4249"/>
    <n v="4"/>
    <n v="11"/>
    <m/>
    <s v=""/>
    <x v="1"/>
    <x v="101"/>
    <s v="50+"/>
    <s v=""/>
  </r>
  <r>
    <n v="1105"/>
    <x v="2"/>
    <x v="2"/>
    <x v="19"/>
    <x v="0"/>
    <x v="102"/>
    <n v="6537"/>
    <n v="5"/>
    <n v="1"/>
    <m/>
    <s v=""/>
    <x v="1"/>
    <x v="102"/>
    <s v="40-49"/>
    <s v=""/>
  </r>
  <r>
    <n v="1106"/>
    <x v="5"/>
    <x v="0"/>
    <x v="25"/>
    <x v="0"/>
    <x v="103"/>
    <n v="5339"/>
    <n v="5"/>
    <n v="8"/>
    <d v="2025-07-25T00:00:00"/>
    <n v="45863"/>
    <x v="0"/>
    <x v="103"/>
    <s v="40-49"/>
    <s v=""/>
  </r>
  <r>
    <n v="1107"/>
    <x v="2"/>
    <x v="0"/>
    <x v="10"/>
    <x v="0"/>
    <x v="104"/>
    <n v="6759"/>
    <n v="3"/>
    <n v="2"/>
    <m/>
    <s v=""/>
    <x v="1"/>
    <x v="104"/>
    <s v="50+"/>
    <s v=""/>
  </r>
  <r>
    <n v="1108"/>
    <x v="5"/>
    <x v="0"/>
    <x v="33"/>
    <x v="2"/>
    <x v="105"/>
    <n v="7791"/>
    <n v="4"/>
    <n v="14"/>
    <m/>
    <s v=""/>
    <x v="1"/>
    <x v="105"/>
    <s v="Under 30"/>
    <s v=""/>
  </r>
  <r>
    <n v="1109"/>
    <x v="0"/>
    <x v="2"/>
    <x v="9"/>
    <x v="0"/>
    <x v="106"/>
    <n v="9085"/>
    <n v="1"/>
    <n v="2"/>
    <m/>
    <s v=""/>
    <x v="1"/>
    <x v="106"/>
    <s v="50+"/>
    <s v=""/>
  </r>
  <r>
    <n v="1110"/>
    <x v="4"/>
    <x v="0"/>
    <x v="2"/>
    <x v="0"/>
    <x v="107"/>
    <n v="8232"/>
    <n v="5"/>
    <n v="18"/>
    <d v="2023-05-12T00:00:00"/>
    <n v="45058"/>
    <x v="0"/>
    <x v="107"/>
    <s v="Under 30"/>
    <s v=""/>
  </r>
  <r>
    <n v="1111"/>
    <x v="5"/>
    <x v="1"/>
    <x v="5"/>
    <x v="0"/>
    <x v="108"/>
    <n v="7060"/>
    <n v="3"/>
    <n v="17"/>
    <d v="2020-01-23T00:00:00"/>
    <n v="43853"/>
    <x v="0"/>
    <x v="108"/>
    <s v="50+"/>
    <s v=""/>
  </r>
  <r>
    <n v="1112"/>
    <x v="2"/>
    <x v="1"/>
    <x v="29"/>
    <x v="0"/>
    <x v="109"/>
    <n v="5161"/>
    <n v="4"/>
    <n v="7"/>
    <m/>
    <s v=""/>
    <x v="1"/>
    <x v="109"/>
    <s v="Under 30"/>
    <s v=""/>
  </r>
  <r>
    <n v="1113"/>
    <x v="0"/>
    <x v="0"/>
    <x v="12"/>
    <x v="0"/>
    <x v="110"/>
    <n v="8964"/>
    <n v="4"/>
    <n v="16"/>
    <m/>
    <s v=""/>
    <x v="1"/>
    <x v="110"/>
    <s v="50+"/>
    <s v=""/>
  </r>
  <r>
    <n v="1114"/>
    <x v="5"/>
    <x v="1"/>
    <x v="28"/>
    <x v="2"/>
    <x v="111"/>
    <n v="8001"/>
    <n v="4"/>
    <n v="7"/>
    <m/>
    <s v=""/>
    <x v="1"/>
    <x v="111"/>
    <s v="30-39"/>
    <s v=""/>
  </r>
  <r>
    <n v="1115"/>
    <x v="3"/>
    <x v="0"/>
    <x v="14"/>
    <x v="0"/>
    <x v="112"/>
    <n v="6452"/>
    <n v="4"/>
    <n v="6"/>
    <m/>
    <s v=""/>
    <x v="1"/>
    <x v="112"/>
    <s v="30-39"/>
    <s v=""/>
  </r>
  <r>
    <n v="1116"/>
    <x v="4"/>
    <x v="1"/>
    <x v="19"/>
    <x v="0"/>
    <x v="71"/>
    <n v="6470"/>
    <n v="4"/>
    <n v="6"/>
    <m/>
    <s v=""/>
    <x v="1"/>
    <x v="71"/>
    <s v="40-49"/>
    <s v=""/>
  </r>
  <r>
    <n v="1117"/>
    <x v="5"/>
    <x v="1"/>
    <x v="18"/>
    <x v="0"/>
    <x v="113"/>
    <n v="4553"/>
    <n v="5"/>
    <n v="2"/>
    <m/>
    <s v=""/>
    <x v="1"/>
    <x v="113"/>
    <s v="40-49"/>
    <s v=""/>
  </r>
  <r>
    <n v="1118"/>
    <x v="0"/>
    <x v="1"/>
    <x v="22"/>
    <x v="0"/>
    <x v="114"/>
    <n v="5152"/>
    <n v="3"/>
    <n v="0"/>
    <m/>
    <s v=""/>
    <x v="1"/>
    <x v="114"/>
    <s v="50+"/>
    <s v=""/>
  </r>
  <r>
    <n v="1119"/>
    <x v="3"/>
    <x v="1"/>
    <x v="31"/>
    <x v="0"/>
    <x v="115"/>
    <n v="4738"/>
    <n v="4"/>
    <n v="3"/>
    <m/>
    <s v=""/>
    <x v="1"/>
    <x v="115"/>
    <s v="40-49"/>
    <s v=""/>
  </r>
  <r>
    <n v="1120"/>
    <x v="1"/>
    <x v="0"/>
    <x v="10"/>
    <x v="0"/>
    <x v="116"/>
    <n v="3170"/>
    <n v="2"/>
    <n v="4"/>
    <d v="2022-08-12T00:00:00"/>
    <n v="44785"/>
    <x v="0"/>
    <x v="116"/>
    <s v="50+"/>
    <s v=""/>
  </r>
  <r>
    <n v="1121"/>
    <x v="0"/>
    <x v="0"/>
    <x v="24"/>
    <x v="0"/>
    <x v="117"/>
    <n v="8776"/>
    <n v="2"/>
    <n v="0"/>
    <m/>
    <s v=""/>
    <x v="1"/>
    <x v="117"/>
    <s v="50+"/>
    <s v=""/>
  </r>
  <r>
    <n v="1122"/>
    <x v="0"/>
    <x v="0"/>
    <x v="17"/>
    <x v="0"/>
    <x v="118"/>
    <n v="7748"/>
    <n v="3"/>
    <n v="14"/>
    <d v="2028-03-09T00:00:00"/>
    <n v="46821"/>
    <x v="0"/>
    <x v="118"/>
    <s v="50+"/>
    <s v=""/>
  </r>
  <r>
    <n v="1123"/>
    <x v="3"/>
    <x v="0"/>
    <x v="27"/>
    <x v="0"/>
    <x v="119"/>
    <n v="7279"/>
    <n v="1"/>
    <n v="4"/>
    <m/>
    <s v=""/>
    <x v="1"/>
    <x v="119"/>
    <s v="40-49"/>
    <s v=""/>
  </r>
  <r>
    <n v="1124"/>
    <x v="0"/>
    <x v="1"/>
    <x v="30"/>
    <x v="0"/>
    <x v="120"/>
    <n v="4731"/>
    <n v="1"/>
    <n v="12"/>
    <m/>
    <s v=""/>
    <x v="1"/>
    <x v="120"/>
    <s v="50+"/>
    <s v=""/>
  </r>
  <r>
    <n v="1125"/>
    <x v="3"/>
    <x v="0"/>
    <x v="19"/>
    <x v="2"/>
    <x v="121"/>
    <n v="9388"/>
    <n v="1"/>
    <n v="7"/>
    <d v="2019-09-26T00:00:00"/>
    <n v="43734"/>
    <x v="0"/>
    <x v="121"/>
    <s v="40-49"/>
    <s v=""/>
  </r>
  <r>
    <n v="1126"/>
    <x v="5"/>
    <x v="0"/>
    <x v="27"/>
    <x v="0"/>
    <x v="122"/>
    <n v="3224"/>
    <n v="2"/>
    <n v="7"/>
    <m/>
    <s v=""/>
    <x v="1"/>
    <x v="122"/>
    <s v="40-49"/>
    <s v=""/>
  </r>
  <r>
    <n v="1127"/>
    <x v="3"/>
    <x v="0"/>
    <x v="35"/>
    <x v="2"/>
    <x v="123"/>
    <n v="9104"/>
    <n v="1"/>
    <n v="4"/>
    <m/>
    <s v=""/>
    <x v="1"/>
    <x v="123"/>
    <s v="30-39"/>
    <s v=""/>
  </r>
  <r>
    <n v="1128"/>
    <x v="3"/>
    <x v="1"/>
    <x v="26"/>
    <x v="0"/>
    <x v="124"/>
    <n v="7524"/>
    <n v="5"/>
    <n v="8"/>
    <m/>
    <s v=""/>
    <x v="1"/>
    <x v="124"/>
    <s v="Under 30"/>
    <s v=""/>
  </r>
  <r>
    <n v="1129"/>
    <x v="4"/>
    <x v="0"/>
    <x v="16"/>
    <x v="0"/>
    <x v="125"/>
    <n v="3694"/>
    <n v="4"/>
    <n v="0"/>
    <m/>
    <s v=""/>
    <x v="1"/>
    <x v="125"/>
    <s v="40-49"/>
    <s v=""/>
  </r>
  <r>
    <n v="1130"/>
    <x v="3"/>
    <x v="0"/>
    <x v="33"/>
    <x v="0"/>
    <x v="126"/>
    <n v="9433"/>
    <n v="2"/>
    <n v="3"/>
    <d v="2018-09-17T00:00:00"/>
    <n v="43360"/>
    <x v="0"/>
    <x v="7"/>
    <s v="Under 30"/>
    <s v=""/>
  </r>
  <r>
    <n v="1131"/>
    <x v="3"/>
    <x v="2"/>
    <x v="26"/>
    <x v="0"/>
    <x v="127"/>
    <n v="9270"/>
    <n v="3"/>
    <n v="2"/>
    <m/>
    <s v=""/>
    <x v="1"/>
    <x v="126"/>
    <s v="Under 30"/>
    <s v=""/>
  </r>
  <r>
    <n v="1132"/>
    <x v="1"/>
    <x v="0"/>
    <x v="10"/>
    <x v="0"/>
    <x v="128"/>
    <n v="3397"/>
    <n v="3"/>
    <n v="1"/>
    <m/>
    <s v=""/>
    <x v="1"/>
    <x v="127"/>
    <s v="50+"/>
    <s v=""/>
  </r>
  <r>
    <n v="1133"/>
    <x v="5"/>
    <x v="1"/>
    <x v="0"/>
    <x v="0"/>
    <x v="129"/>
    <n v="5862"/>
    <n v="4"/>
    <n v="7"/>
    <m/>
    <s v=""/>
    <x v="1"/>
    <x v="128"/>
    <s v="50+"/>
    <s v=""/>
  </r>
  <r>
    <n v="1134"/>
    <x v="4"/>
    <x v="0"/>
    <x v="30"/>
    <x v="0"/>
    <x v="130"/>
    <n v="5136"/>
    <n v="2"/>
    <n v="8"/>
    <m/>
    <s v=""/>
    <x v="1"/>
    <x v="129"/>
    <s v="50+"/>
    <s v=""/>
  </r>
  <r>
    <n v="1135"/>
    <x v="1"/>
    <x v="0"/>
    <x v="29"/>
    <x v="1"/>
    <x v="106"/>
    <n v="7488"/>
    <n v="1"/>
    <n v="1"/>
    <m/>
    <s v=""/>
    <x v="1"/>
    <x v="106"/>
    <s v="Under 30"/>
    <s v=""/>
  </r>
  <r>
    <n v="1136"/>
    <x v="2"/>
    <x v="1"/>
    <x v="4"/>
    <x v="0"/>
    <x v="131"/>
    <n v="4487"/>
    <n v="1"/>
    <n v="13"/>
    <m/>
    <s v=""/>
    <x v="1"/>
    <x v="130"/>
    <s v="40-49"/>
    <s v=""/>
  </r>
  <r>
    <n v="1137"/>
    <x v="5"/>
    <x v="0"/>
    <x v="22"/>
    <x v="0"/>
    <x v="132"/>
    <n v="3372"/>
    <n v="5"/>
    <n v="13"/>
    <m/>
    <s v=""/>
    <x v="1"/>
    <x v="131"/>
    <s v="50+"/>
    <s v=""/>
  </r>
  <r>
    <n v="1138"/>
    <x v="5"/>
    <x v="0"/>
    <x v="33"/>
    <x v="0"/>
    <x v="133"/>
    <n v="8971"/>
    <n v="5"/>
    <n v="3"/>
    <m/>
    <s v=""/>
    <x v="1"/>
    <x v="132"/>
    <s v="Under 30"/>
    <s v=""/>
  </r>
  <r>
    <n v="1139"/>
    <x v="2"/>
    <x v="1"/>
    <x v="25"/>
    <x v="2"/>
    <x v="128"/>
    <n v="4890"/>
    <n v="1"/>
    <n v="5"/>
    <m/>
    <s v=""/>
    <x v="1"/>
    <x v="127"/>
    <s v="40-49"/>
    <s v=""/>
  </r>
  <r>
    <n v="1140"/>
    <x v="3"/>
    <x v="1"/>
    <x v="8"/>
    <x v="0"/>
    <x v="32"/>
    <n v="8600"/>
    <n v="3"/>
    <n v="10"/>
    <m/>
    <s v=""/>
    <x v="1"/>
    <x v="32"/>
    <s v="30-39"/>
    <s v=""/>
  </r>
  <r>
    <n v="1141"/>
    <x v="1"/>
    <x v="1"/>
    <x v="15"/>
    <x v="0"/>
    <x v="134"/>
    <n v="9366"/>
    <n v="3"/>
    <n v="2"/>
    <m/>
    <s v=""/>
    <x v="1"/>
    <x v="133"/>
    <s v="50+"/>
    <s v=""/>
  </r>
  <r>
    <n v="1142"/>
    <x v="0"/>
    <x v="1"/>
    <x v="1"/>
    <x v="0"/>
    <x v="106"/>
    <n v="6469"/>
    <n v="5"/>
    <n v="7"/>
    <m/>
    <s v=""/>
    <x v="1"/>
    <x v="106"/>
    <s v="30-39"/>
    <s v=""/>
  </r>
  <r>
    <n v="1143"/>
    <x v="4"/>
    <x v="1"/>
    <x v="32"/>
    <x v="0"/>
    <x v="133"/>
    <n v="7072"/>
    <n v="4"/>
    <n v="2"/>
    <m/>
    <s v=""/>
    <x v="1"/>
    <x v="132"/>
    <s v="30-39"/>
    <s v=""/>
  </r>
  <r>
    <n v="1144"/>
    <x v="0"/>
    <x v="0"/>
    <x v="25"/>
    <x v="0"/>
    <x v="135"/>
    <n v="7424"/>
    <n v="1"/>
    <n v="13"/>
    <m/>
    <s v=""/>
    <x v="1"/>
    <x v="134"/>
    <s v="40-49"/>
    <s v=""/>
  </r>
  <r>
    <n v="1145"/>
    <x v="2"/>
    <x v="1"/>
    <x v="26"/>
    <x v="2"/>
    <x v="136"/>
    <n v="4433"/>
    <n v="5"/>
    <n v="12"/>
    <d v="2024-08-31T00:00:00"/>
    <n v="45535"/>
    <x v="0"/>
    <x v="135"/>
    <s v="Under 30"/>
    <s v=""/>
  </r>
  <r>
    <n v="1146"/>
    <x v="5"/>
    <x v="1"/>
    <x v="14"/>
    <x v="0"/>
    <x v="137"/>
    <n v="7861"/>
    <n v="5"/>
    <n v="12"/>
    <m/>
    <s v=""/>
    <x v="1"/>
    <x v="136"/>
    <s v="30-39"/>
    <s v=""/>
  </r>
  <r>
    <n v="1147"/>
    <x v="5"/>
    <x v="0"/>
    <x v="37"/>
    <x v="0"/>
    <x v="138"/>
    <n v="4317"/>
    <n v="1"/>
    <n v="1"/>
    <d v="2020-03-08T00:00:00"/>
    <n v="43898"/>
    <x v="0"/>
    <x v="137"/>
    <s v="40-49"/>
    <s v=""/>
  </r>
  <r>
    <n v="1148"/>
    <x v="4"/>
    <x v="0"/>
    <x v="26"/>
    <x v="0"/>
    <x v="139"/>
    <n v="7093"/>
    <n v="1"/>
    <n v="12"/>
    <m/>
    <s v=""/>
    <x v="1"/>
    <x v="138"/>
    <s v="Under 30"/>
    <s v=""/>
  </r>
  <r>
    <n v="1149"/>
    <x v="5"/>
    <x v="1"/>
    <x v="31"/>
    <x v="0"/>
    <x v="126"/>
    <n v="5457"/>
    <n v="3"/>
    <n v="18"/>
    <m/>
    <s v=""/>
    <x v="1"/>
    <x v="139"/>
    <s v="40-49"/>
    <s v=""/>
  </r>
  <r>
    <n v="1150"/>
    <x v="5"/>
    <x v="1"/>
    <x v="20"/>
    <x v="0"/>
    <x v="140"/>
    <n v="6448"/>
    <n v="4"/>
    <n v="5"/>
    <d v="2020-06-26T00:00:00"/>
    <n v="44008"/>
    <x v="0"/>
    <x v="140"/>
    <s v="Under 30"/>
    <s v=""/>
  </r>
  <r>
    <n v="1151"/>
    <x v="4"/>
    <x v="1"/>
    <x v="12"/>
    <x v="0"/>
    <x v="141"/>
    <n v="7748"/>
    <n v="4"/>
    <n v="15"/>
    <d v="2025-12-14T00:00:00"/>
    <n v="46005"/>
    <x v="0"/>
    <x v="141"/>
    <s v="50+"/>
    <s v=""/>
  </r>
  <r>
    <n v="1152"/>
    <x v="1"/>
    <x v="0"/>
    <x v="33"/>
    <x v="0"/>
    <x v="142"/>
    <n v="6388"/>
    <n v="1"/>
    <n v="1"/>
    <d v="2019-11-20T00:00:00"/>
    <n v="43789"/>
    <x v="0"/>
    <x v="142"/>
    <s v="Under 30"/>
    <s v=""/>
  </r>
  <r>
    <n v="1153"/>
    <x v="1"/>
    <x v="1"/>
    <x v="3"/>
    <x v="0"/>
    <x v="143"/>
    <n v="4337"/>
    <n v="2"/>
    <n v="7"/>
    <m/>
    <s v=""/>
    <x v="1"/>
    <x v="143"/>
    <s v="40-49"/>
    <s v=""/>
  </r>
  <r>
    <n v="1154"/>
    <x v="4"/>
    <x v="0"/>
    <x v="17"/>
    <x v="0"/>
    <x v="144"/>
    <n v="8965"/>
    <n v="5"/>
    <n v="16"/>
    <m/>
    <s v=""/>
    <x v="1"/>
    <x v="144"/>
    <s v="50+"/>
    <s v=""/>
  </r>
  <r>
    <n v="1155"/>
    <x v="2"/>
    <x v="2"/>
    <x v="35"/>
    <x v="0"/>
    <x v="145"/>
    <n v="7976"/>
    <n v="5"/>
    <n v="1"/>
    <m/>
    <s v=""/>
    <x v="1"/>
    <x v="145"/>
    <s v="30-39"/>
    <s v=""/>
  </r>
  <r>
    <n v="1156"/>
    <x v="5"/>
    <x v="1"/>
    <x v="28"/>
    <x v="0"/>
    <x v="146"/>
    <n v="5937"/>
    <n v="1"/>
    <n v="9"/>
    <m/>
    <s v=""/>
    <x v="1"/>
    <x v="146"/>
    <s v="30-39"/>
    <s v=""/>
  </r>
  <r>
    <n v="1157"/>
    <x v="5"/>
    <x v="0"/>
    <x v="29"/>
    <x v="2"/>
    <x v="147"/>
    <n v="2897"/>
    <n v="2"/>
    <n v="15"/>
    <m/>
    <s v=""/>
    <x v="1"/>
    <x v="147"/>
    <s v="Under 30"/>
    <s v=""/>
  </r>
  <r>
    <n v="1158"/>
    <x v="2"/>
    <x v="2"/>
    <x v="25"/>
    <x v="0"/>
    <x v="148"/>
    <n v="6015"/>
    <n v="3"/>
    <n v="5"/>
    <m/>
    <s v=""/>
    <x v="1"/>
    <x v="148"/>
    <s v="40-49"/>
    <s v=""/>
  </r>
  <r>
    <n v="1159"/>
    <x v="1"/>
    <x v="1"/>
    <x v="7"/>
    <x v="0"/>
    <x v="139"/>
    <n v="8799"/>
    <n v="1"/>
    <n v="1"/>
    <m/>
    <s v=""/>
    <x v="1"/>
    <x v="138"/>
    <s v="40-49"/>
    <s v=""/>
  </r>
  <r>
    <n v="1160"/>
    <x v="3"/>
    <x v="0"/>
    <x v="23"/>
    <x v="2"/>
    <x v="149"/>
    <n v="7330"/>
    <n v="1"/>
    <n v="1"/>
    <m/>
    <s v=""/>
    <x v="1"/>
    <x v="149"/>
    <s v="Under 30"/>
    <s v=""/>
  </r>
  <r>
    <n v="1161"/>
    <x v="3"/>
    <x v="0"/>
    <x v="2"/>
    <x v="0"/>
    <x v="150"/>
    <n v="7532"/>
    <n v="5"/>
    <n v="12"/>
    <m/>
    <s v=""/>
    <x v="1"/>
    <x v="150"/>
    <s v="Under 30"/>
    <s v=""/>
  </r>
  <r>
    <n v="1162"/>
    <x v="3"/>
    <x v="0"/>
    <x v="36"/>
    <x v="2"/>
    <x v="151"/>
    <n v="6550"/>
    <n v="1"/>
    <n v="14"/>
    <m/>
    <s v=""/>
    <x v="1"/>
    <x v="151"/>
    <s v="30-39"/>
    <s v=""/>
  </r>
  <r>
    <n v="1163"/>
    <x v="1"/>
    <x v="0"/>
    <x v="12"/>
    <x v="0"/>
    <x v="152"/>
    <n v="5957"/>
    <n v="1"/>
    <n v="1"/>
    <m/>
    <s v=""/>
    <x v="1"/>
    <x v="152"/>
    <s v="50+"/>
    <s v=""/>
  </r>
  <r>
    <n v="1164"/>
    <x v="1"/>
    <x v="0"/>
    <x v="31"/>
    <x v="1"/>
    <x v="153"/>
    <n v="7483"/>
    <n v="1"/>
    <n v="6"/>
    <m/>
    <s v=""/>
    <x v="1"/>
    <x v="153"/>
    <s v="40-49"/>
    <s v=""/>
  </r>
  <r>
    <n v="1165"/>
    <x v="2"/>
    <x v="0"/>
    <x v="38"/>
    <x v="0"/>
    <x v="154"/>
    <n v="3143"/>
    <n v="5"/>
    <n v="2"/>
    <m/>
    <s v=""/>
    <x v="1"/>
    <x v="154"/>
    <s v="30-39"/>
    <s v=""/>
  </r>
  <r>
    <n v="1166"/>
    <x v="5"/>
    <x v="0"/>
    <x v="36"/>
    <x v="0"/>
    <x v="155"/>
    <n v="8213"/>
    <n v="3"/>
    <n v="7"/>
    <m/>
    <s v=""/>
    <x v="1"/>
    <x v="155"/>
    <s v="30-39"/>
    <s v=""/>
  </r>
  <r>
    <n v="1167"/>
    <x v="2"/>
    <x v="0"/>
    <x v="38"/>
    <x v="0"/>
    <x v="156"/>
    <n v="8875"/>
    <n v="3"/>
    <n v="13"/>
    <m/>
    <s v=""/>
    <x v="1"/>
    <x v="156"/>
    <s v="30-39"/>
    <s v=""/>
  </r>
  <r>
    <n v="1168"/>
    <x v="2"/>
    <x v="0"/>
    <x v="17"/>
    <x v="2"/>
    <x v="157"/>
    <n v="7466"/>
    <n v="1"/>
    <n v="6"/>
    <m/>
    <s v=""/>
    <x v="1"/>
    <x v="157"/>
    <s v="50+"/>
    <s v=""/>
  </r>
  <r>
    <n v="1169"/>
    <x v="1"/>
    <x v="0"/>
    <x v="34"/>
    <x v="2"/>
    <x v="158"/>
    <n v="3410"/>
    <n v="5"/>
    <n v="20"/>
    <m/>
    <s v=""/>
    <x v="1"/>
    <x v="158"/>
    <s v="30-39"/>
    <s v=""/>
  </r>
  <r>
    <n v="1170"/>
    <x v="3"/>
    <x v="1"/>
    <x v="20"/>
    <x v="0"/>
    <x v="159"/>
    <n v="4527"/>
    <n v="3"/>
    <n v="6"/>
    <m/>
    <s v=""/>
    <x v="1"/>
    <x v="159"/>
    <s v="Under 30"/>
    <s v=""/>
  </r>
  <r>
    <n v="1171"/>
    <x v="0"/>
    <x v="1"/>
    <x v="22"/>
    <x v="0"/>
    <x v="4"/>
    <n v="5090"/>
    <n v="3"/>
    <n v="0"/>
    <m/>
    <s v=""/>
    <x v="1"/>
    <x v="4"/>
    <s v="50+"/>
    <s v=""/>
  </r>
  <r>
    <n v="1172"/>
    <x v="5"/>
    <x v="1"/>
    <x v="30"/>
    <x v="2"/>
    <x v="160"/>
    <n v="4654"/>
    <n v="3"/>
    <n v="16"/>
    <d v="2021-01-28T00:00:00"/>
    <n v="44224"/>
    <x v="0"/>
    <x v="160"/>
    <s v="50+"/>
    <s v=""/>
  </r>
  <r>
    <n v="1173"/>
    <x v="1"/>
    <x v="1"/>
    <x v="20"/>
    <x v="0"/>
    <x v="161"/>
    <n v="5408"/>
    <n v="5"/>
    <n v="8"/>
    <m/>
    <s v=""/>
    <x v="1"/>
    <x v="161"/>
    <s v="Under 30"/>
    <s v=""/>
  </r>
  <r>
    <n v="1174"/>
    <x v="3"/>
    <x v="1"/>
    <x v="30"/>
    <x v="2"/>
    <x v="162"/>
    <n v="7855"/>
    <n v="5"/>
    <n v="20"/>
    <m/>
    <s v=""/>
    <x v="1"/>
    <x v="162"/>
    <s v="50+"/>
    <s v=""/>
  </r>
  <r>
    <n v="1175"/>
    <x v="0"/>
    <x v="0"/>
    <x v="3"/>
    <x v="2"/>
    <x v="163"/>
    <n v="4879"/>
    <n v="1"/>
    <n v="12"/>
    <m/>
    <s v=""/>
    <x v="1"/>
    <x v="163"/>
    <s v="40-49"/>
    <s v=""/>
  </r>
  <r>
    <n v="1176"/>
    <x v="0"/>
    <x v="1"/>
    <x v="2"/>
    <x v="0"/>
    <x v="164"/>
    <n v="9334"/>
    <n v="4"/>
    <n v="20"/>
    <d v="2024-06-21T00:00:00"/>
    <n v="45464"/>
    <x v="0"/>
    <x v="164"/>
    <s v="Under 30"/>
    <s v=""/>
  </r>
  <r>
    <n v="1177"/>
    <x v="1"/>
    <x v="0"/>
    <x v="22"/>
    <x v="0"/>
    <x v="165"/>
    <n v="5124"/>
    <n v="3"/>
    <n v="18"/>
    <d v="2024-01-28T00:00:00"/>
    <n v="45319"/>
    <x v="0"/>
    <x v="165"/>
    <s v="50+"/>
    <s v=""/>
  </r>
  <r>
    <n v="1178"/>
    <x v="4"/>
    <x v="1"/>
    <x v="1"/>
    <x v="0"/>
    <x v="166"/>
    <n v="7427"/>
    <n v="4"/>
    <n v="20"/>
    <m/>
    <s v=""/>
    <x v="1"/>
    <x v="166"/>
    <s v="30-39"/>
    <s v=""/>
  </r>
  <r>
    <n v="1179"/>
    <x v="5"/>
    <x v="0"/>
    <x v="38"/>
    <x v="0"/>
    <x v="167"/>
    <n v="3977"/>
    <n v="5"/>
    <n v="18"/>
    <m/>
    <s v=""/>
    <x v="1"/>
    <x v="167"/>
    <s v="30-39"/>
    <s v=""/>
  </r>
  <r>
    <n v="1180"/>
    <x v="0"/>
    <x v="2"/>
    <x v="27"/>
    <x v="2"/>
    <x v="168"/>
    <n v="9326"/>
    <n v="5"/>
    <n v="16"/>
    <m/>
    <s v=""/>
    <x v="1"/>
    <x v="168"/>
    <s v="40-49"/>
    <s v=""/>
  </r>
  <r>
    <n v="1181"/>
    <x v="1"/>
    <x v="1"/>
    <x v="3"/>
    <x v="0"/>
    <x v="169"/>
    <n v="3891"/>
    <n v="5"/>
    <n v="9"/>
    <m/>
    <s v=""/>
    <x v="1"/>
    <x v="169"/>
    <s v="40-49"/>
    <s v=""/>
  </r>
  <r>
    <n v="1182"/>
    <x v="1"/>
    <x v="0"/>
    <x v="34"/>
    <x v="2"/>
    <x v="170"/>
    <n v="8797"/>
    <n v="4"/>
    <n v="9"/>
    <m/>
    <s v=""/>
    <x v="1"/>
    <x v="170"/>
    <s v="30-39"/>
    <s v=""/>
  </r>
  <r>
    <n v="1183"/>
    <x v="3"/>
    <x v="1"/>
    <x v="33"/>
    <x v="0"/>
    <x v="171"/>
    <n v="7779"/>
    <n v="5"/>
    <n v="3"/>
    <m/>
    <s v=""/>
    <x v="1"/>
    <x v="171"/>
    <s v="Under 30"/>
    <s v=""/>
  </r>
  <r>
    <n v="1184"/>
    <x v="4"/>
    <x v="0"/>
    <x v="18"/>
    <x v="1"/>
    <x v="172"/>
    <n v="9157"/>
    <n v="1"/>
    <n v="7"/>
    <m/>
    <s v=""/>
    <x v="1"/>
    <x v="172"/>
    <s v="40-49"/>
    <s v=""/>
  </r>
  <r>
    <n v="1185"/>
    <x v="5"/>
    <x v="1"/>
    <x v="13"/>
    <x v="0"/>
    <x v="173"/>
    <n v="8574"/>
    <n v="5"/>
    <n v="19"/>
    <m/>
    <s v=""/>
    <x v="1"/>
    <x v="173"/>
    <s v="Under 30"/>
    <s v=""/>
  </r>
  <r>
    <n v="1186"/>
    <x v="2"/>
    <x v="0"/>
    <x v="31"/>
    <x v="0"/>
    <x v="174"/>
    <n v="9319"/>
    <n v="2"/>
    <n v="19"/>
    <m/>
    <s v=""/>
    <x v="1"/>
    <x v="174"/>
    <s v="40-49"/>
    <s v=""/>
  </r>
  <r>
    <n v="1187"/>
    <x v="3"/>
    <x v="1"/>
    <x v="16"/>
    <x v="0"/>
    <x v="175"/>
    <n v="5591"/>
    <n v="4"/>
    <n v="17"/>
    <d v="2021-08-31T00:00:00"/>
    <n v="44439"/>
    <x v="0"/>
    <x v="175"/>
    <s v="40-49"/>
    <s v=""/>
  </r>
  <r>
    <n v="1188"/>
    <x v="0"/>
    <x v="0"/>
    <x v="11"/>
    <x v="0"/>
    <x v="176"/>
    <n v="9156"/>
    <n v="2"/>
    <n v="13"/>
    <m/>
    <s v=""/>
    <x v="1"/>
    <x v="176"/>
    <s v="30-39"/>
    <s v=""/>
  </r>
  <r>
    <n v="1189"/>
    <x v="0"/>
    <x v="0"/>
    <x v="33"/>
    <x v="0"/>
    <x v="177"/>
    <n v="9022"/>
    <n v="5"/>
    <n v="17"/>
    <m/>
    <s v=""/>
    <x v="1"/>
    <x v="177"/>
    <s v="Under 30"/>
    <s v=""/>
  </r>
  <r>
    <n v="1190"/>
    <x v="3"/>
    <x v="1"/>
    <x v="14"/>
    <x v="2"/>
    <x v="178"/>
    <n v="4549"/>
    <n v="1"/>
    <n v="13"/>
    <m/>
    <s v=""/>
    <x v="1"/>
    <x v="178"/>
    <s v="30-39"/>
    <s v=""/>
  </r>
  <r>
    <n v="1191"/>
    <x v="1"/>
    <x v="1"/>
    <x v="13"/>
    <x v="0"/>
    <x v="179"/>
    <n v="5475"/>
    <n v="3"/>
    <n v="19"/>
    <m/>
    <s v=""/>
    <x v="1"/>
    <x v="179"/>
    <s v="Under 30"/>
    <s v=""/>
  </r>
  <r>
    <n v="1192"/>
    <x v="0"/>
    <x v="1"/>
    <x v="11"/>
    <x v="0"/>
    <x v="180"/>
    <n v="3581"/>
    <n v="5"/>
    <n v="20"/>
    <d v="2021-12-31T00:00:00"/>
    <n v="44561"/>
    <x v="0"/>
    <x v="180"/>
    <s v="30-39"/>
    <s v=""/>
  </r>
  <r>
    <n v="1193"/>
    <x v="4"/>
    <x v="1"/>
    <x v="16"/>
    <x v="0"/>
    <x v="181"/>
    <n v="5848"/>
    <n v="1"/>
    <n v="14"/>
    <d v="2025-06-02T00:00:00"/>
    <n v="45810"/>
    <x v="0"/>
    <x v="181"/>
    <s v="40-49"/>
    <s v=""/>
  </r>
  <r>
    <n v="1194"/>
    <x v="5"/>
    <x v="0"/>
    <x v="3"/>
    <x v="0"/>
    <x v="182"/>
    <n v="4905"/>
    <n v="4"/>
    <n v="3"/>
    <m/>
    <s v=""/>
    <x v="1"/>
    <x v="182"/>
    <s v="40-49"/>
    <s v=""/>
  </r>
  <r>
    <n v="1195"/>
    <x v="4"/>
    <x v="1"/>
    <x v="10"/>
    <x v="0"/>
    <x v="183"/>
    <n v="6667"/>
    <n v="2"/>
    <n v="12"/>
    <d v="2025-05-29T00:00:00"/>
    <n v="45806"/>
    <x v="0"/>
    <x v="183"/>
    <s v="50+"/>
    <s v=""/>
  </r>
  <r>
    <n v="1196"/>
    <x v="0"/>
    <x v="1"/>
    <x v="31"/>
    <x v="1"/>
    <x v="184"/>
    <n v="7776"/>
    <n v="2"/>
    <n v="7"/>
    <m/>
    <s v=""/>
    <x v="1"/>
    <x v="184"/>
    <s v="40-49"/>
    <s v=""/>
  </r>
  <r>
    <n v="1197"/>
    <x v="2"/>
    <x v="1"/>
    <x v="12"/>
    <x v="1"/>
    <x v="185"/>
    <n v="7342"/>
    <n v="2"/>
    <n v="17"/>
    <m/>
    <s v=""/>
    <x v="1"/>
    <x v="185"/>
    <s v="50+"/>
    <s v=""/>
  </r>
  <r>
    <n v="1198"/>
    <x v="5"/>
    <x v="0"/>
    <x v="0"/>
    <x v="2"/>
    <x v="186"/>
    <n v="4913"/>
    <n v="4"/>
    <n v="11"/>
    <d v="2024-02-25T00:00:00"/>
    <n v="45347"/>
    <x v="0"/>
    <x v="186"/>
    <s v="50+"/>
    <s v=""/>
  </r>
  <r>
    <n v="1199"/>
    <x v="5"/>
    <x v="1"/>
    <x v="9"/>
    <x v="2"/>
    <x v="187"/>
    <n v="8679"/>
    <n v="1"/>
    <n v="13"/>
    <m/>
    <s v=""/>
    <x v="1"/>
    <x v="187"/>
    <s v="50+"/>
    <s v=""/>
  </r>
  <r>
    <n v="1200"/>
    <x v="3"/>
    <x v="1"/>
    <x v="30"/>
    <x v="0"/>
    <x v="188"/>
    <n v="8173"/>
    <n v="4"/>
    <n v="1"/>
    <m/>
    <s v=""/>
    <x v="1"/>
    <x v="188"/>
    <s v="50+"/>
    <s v=""/>
  </r>
  <r>
    <n v="1201"/>
    <x v="3"/>
    <x v="1"/>
    <x v="25"/>
    <x v="0"/>
    <x v="189"/>
    <n v="6770"/>
    <n v="2"/>
    <n v="17"/>
    <m/>
    <s v=""/>
    <x v="1"/>
    <x v="189"/>
    <s v="40-49"/>
    <s v=""/>
  </r>
  <r>
    <n v="1202"/>
    <x v="2"/>
    <x v="1"/>
    <x v="34"/>
    <x v="0"/>
    <x v="190"/>
    <n v="4791"/>
    <n v="5"/>
    <n v="1"/>
    <m/>
    <s v=""/>
    <x v="1"/>
    <x v="190"/>
    <s v="30-39"/>
    <s v=""/>
  </r>
  <r>
    <n v="1203"/>
    <x v="1"/>
    <x v="0"/>
    <x v="9"/>
    <x v="2"/>
    <x v="191"/>
    <n v="3867"/>
    <n v="3"/>
    <n v="10"/>
    <m/>
    <s v=""/>
    <x v="1"/>
    <x v="191"/>
    <s v="50+"/>
    <s v=""/>
  </r>
  <r>
    <n v="1204"/>
    <x v="5"/>
    <x v="1"/>
    <x v="26"/>
    <x v="0"/>
    <x v="192"/>
    <n v="4377"/>
    <n v="4"/>
    <n v="8"/>
    <d v="2019-01-22T00:00:00"/>
    <n v="43487"/>
    <x v="0"/>
    <x v="107"/>
    <s v="Under 30"/>
    <s v=""/>
  </r>
  <r>
    <n v="1205"/>
    <x v="2"/>
    <x v="1"/>
    <x v="28"/>
    <x v="0"/>
    <x v="193"/>
    <n v="3811"/>
    <n v="4"/>
    <n v="11"/>
    <m/>
    <s v=""/>
    <x v="1"/>
    <x v="192"/>
    <s v="30-39"/>
    <s v=""/>
  </r>
  <r>
    <n v="1206"/>
    <x v="3"/>
    <x v="0"/>
    <x v="8"/>
    <x v="0"/>
    <x v="194"/>
    <n v="5074"/>
    <n v="1"/>
    <n v="16"/>
    <m/>
    <s v=""/>
    <x v="1"/>
    <x v="193"/>
    <s v="30-39"/>
    <s v=""/>
  </r>
  <r>
    <n v="1207"/>
    <x v="3"/>
    <x v="0"/>
    <x v="23"/>
    <x v="0"/>
    <x v="195"/>
    <n v="7669"/>
    <n v="1"/>
    <n v="14"/>
    <m/>
    <s v=""/>
    <x v="1"/>
    <x v="194"/>
    <s v="Under 30"/>
    <s v=""/>
  </r>
  <r>
    <n v="1208"/>
    <x v="5"/>
    <x v="1"/>
    <x v="36"/>
    <x v="2"/>
    <x v="196"/>
    <n v="4614"/>
    <n v="4"/>
    <n v="16"/>
    <m/>
    <s v=""/>
    <x v="1"/>
    <x v="195"/>
    <s v="30-39"/>
    <s v=""/>
  </r>
  <r>
    <n v="1209"/>
    <x v="4"/>
    <x v="0"/>
    <x v="6"/>
    <x v="2"/>
    <x v="197"/>
    <n v="5226"/>
    <n v="2"/>
    <n v="17"/>
    <m/>
    <s v=""/>
    <x v="1"/>
    <x v="196"/>
    <s v="Under 30"/>
    <s v=""/>
  </r>
  <r>
    <n v="1210"/>
    <x v="0"/>
    <x v="0"/>
    <x v="16"/>
    <x v="0"/>
    <x v="198"/>
    <n v="8097"/>
    <n v="3"/>
    <n v="5"/>
    <m/>
    <s v=""/>
    <x v="1"/>
    <x v="197"/>
    <s v="40-49"/>
    <s v=""/>
  </r>
  <r>
    <n v="1211"/>
    <x v="3"/>
    <x v="1"/>
    <x v="25"/>
    <x v="1"/>
    <x v="199"/>
    <n v="8346"/>
    <n v="1"/>
    <n v="16"/>
    <m/>
    <s v=""/>
    <x v="1"/>
    <x v="198"/>
    <s v="40-49"/>
    <s v=""/>
  </r>
  <r>
    <n v="1212"/>
    <x v="1"/>
    <x v="0"/>
    <x v="26"/>
    <x v="0"/>
    <x v="200"/>
    <n v="7202"/>
    <n v="2"/>
    <n v="17"/>
    <m/>
    <s v=""/>
    <x v="1"/>
    <x v="199"/>
    <s v="Under 30"/>
    <s v=""/>
  </r>
  <r>
    <n v="1213"/>
    <x v="1"/>
    <x v="0"/>
    <x v="23"/>
    <x v="0"/>
    <x v="201"/>
    <n v="7674"/>
    <n v="5"/>
    <n v="7"/>
    <m/>
    <s v=""/>
    <x v="1"/>
    <x v="200"/>
    <s v="Under 30"/>
    <s v=""/>
  </r>
  <r>
    <n v="1214"/>
    <x v="3"/>
    <x v="1"/>
    <x v="2"/>
    <x v="0"/>
    <x v="202"/>
    <n v="5351"/>
    <n v="1"/>
    <n v="8"/>
    <m/>
    <s v=""/>
    <x v="1"/>
    <x v="201"/>
    <s v="Under 30"/>
    <s v=""/>
  </r>
  <r>
    <n v="1215"/>
    <x v="4"/>
    <x v="1"/>
    <x v="7"/>
    <x v="0"/>
    <x v="203"/>
    <n v="9211"/>
    <n v="2"/>
    <n v="5"/>
    <m/>
    <s v=""/>
    <x v="1"/>
    <x v="202"/>
    <s v="40-49"/>
    <s v=""/>
  </r>
  <r>
    <n v="1216"/>
    <x v="4"/>
    <x v="1"/>
    <x v="10"/>
    <x v="0"/>
    <x v="204"/>
    <n v="6457"/>
    <n v="2"/>
    <n v="4"/>
    <d v="2027-01-12T00:00:00"/>
    <n v="46399"/>
    <x v="0"/>
    <x v="203"/>
    <s v="50+"/>
    <s v=""/>
  </r>
  <r>
    <n v="1217"/>
    <x v="2"/>
    <x v="0"/>
    <x v="25"/>
    <x v="1"/>
    <x v="205"/>
    <n v="2807"/>
    <n v="3"/>
    <n v="11"/>
    <m/>
    <s v=""/>
    <x v="1"/>
    <x v="204"/>
    <s v="40-49"/>
    <s v=""/>
  </r>
  <r>
    <n v="1218"/>
    <x v="1"/>
    <x v="2"/>
    <x v="31"/>
    <x v="0"/>
    <x v="206"/>
    <n v="5355"/>
    <n v="3"/>
    <n v="10"/>
    <m/>
    <s v=""/>
    <x v="1"/>
    <x v="205"/>
    <s v="40-49"/>
    <s v=""/>
  </r>
  <r>
    <n v="1219"/>
    <x v="2"/>
    <x v="0"/>
    <x v="14"/>
    <x v="2"/>
    <x v="207"/>
    <n v="3275"/>
    <n v="5"/>
    <n v="0"/>
    <m/>
    <s v=""/>
    <x v="1"/>
    <x v="206"/>
    <s v="30-39"/>
    <s v=""/>
  </r>
  <r>
    <n v="1220"/>
    <x v="1"/>
    <x v="1"/>
    <x v="29"/>
    <x v="0"/>
    <x v="208"/>
    <n v="8216"/>
    <n v="2"/>
    <n v="10"/>
    <m/>
    <s v=""/>
    <x v="1"/>
    <x v="207"/>
    <s v="Under 30"/>
    <s v=""/>
  </r>
  <r>
    <n v="1221"/>
    <x v="0"/>
    <x v="0"/>
    <x v="22"/>
    <x v="0"/>
    <x v="209"/>
    <n v="5011"/>
    <n v="2"/>
    <n v="18"/>
    <m/>
    <s v=""/>
    <x v="1"/>
    <x v="208"/>
    <s v="50+"/>
    <s v=""/>
  </r>
  <r>
    <n v="1222"/>
    <x v="0"/>
    <x v="0"/>
    <x v="5"/>
    <x v="0"/>
    <x v="210"/>
    <n v="3284"/>
    <n v="3"/>
    <n v="8"/>
    <m/>
    <s v=""/>
    <x v="1"/>
    <x v="209"/>
    <s v="50+"/>
    <s v=""/>
  </r>
  <r>
    <n v="1223"/>
    <x v="5"/>
    <x v="1"/>
    <x v="11"/>
    <x v="0"/>
    <x v="211"/>
    <n v="7800"/>
    <n v="1"/>
    <n v="1"/>
    <m/>
    <s v=""/>
    <x v="1"/>
    <x v="210"/>
    <s v="30-39"/>
    <s v=""/>
  </r>
  <r>
    <n v="1224"/>
    <x v="2"/>
    <x v="1"/>
    <x v="21"/>
    <x v="0"/>
    <x v="212"/>
    <n v="7454"/>
    <n v="1"/>
    <n v="11"/>
    <m/>
    <s v=""/>
    <x v="1"/>
    <x v="211"/>
    <s v="50+"/>
    <s v=""/>
  </r>
  <r>
    <n v="1225"/>
    <x v="3"/>
    <x v="0"/>
    <x v="11"/>
    <x v="2"/>
    <x v="69"/>
    <n v="8863"/>
    <n v="4"/>
    <n v="3"/>
    <d v="2018-12-13T00:00:00"/>
    <n v="43447"/>
    <x v="0"/>
    <x v="147"/>
    <s v="30-39"/>
    <s v=""/>
  </r>
  <r>
    <n v="1226"/>
    <x v="2"/>
    <x v="1"/>
    <x v="27"/>
    <x v="0"/>
    <x v="213"/>
    <n v="5085"/>
    <n v="3"/>
    <n v="3"/>
    <m/>
    <s v=""/>
    <x v="1"/>
    <x v="212"/>
    <s v="40-49"/>
    <s v=""/>
  </r>
  <r>
    <n v="1227"/>
    <x v="3"/>
    <x v="0"/>
    <x v="2"/>
    <x v="0"/>
    <x v="214"/>
    <n v="8023"/>
    <n v="4"/>
    <n v="17"/>
    <m/>
    <s v=""/>
    <x v="1"/>
    <x v="213"/>
    <s v="Under 30"/>
    <s v=""/>
  </r>
  <r>
    <n v="1228"/>
    <x v="4"/>
    <x v="1"/>
    <x v="16"/>
    <x v="0"/>
    <x v="215"/>
    <n v="8129"/>
    <n v="3"/>
    <n v="14"/>
    <d v="2019-01-14T00:00:00"/>
    <n v="43479"/>
    <x v="0"/>
    <x v="214"/>
    <s v="40-49"/>
    <s v=""/>
  </r>
  <r>
    <n v="1229"/>
    <x v="2"/>
    <x v="1"/>
    <x v="27"/>
    <x v="0"/>
    <x v="136"/>
    <n v="9497"/>
    <n v="5"/>
    <n v="18"/>
    <m/>
    <s v=""/>
    <x v="1"/>
    <x v="215"/>
    <s v="40-49"/>
    <s v=""/>
  </r>
  <r>
    <n v="1230"/>
    <x v="4"/>
    <x v="1"/>
    <x v="35"/>
    <x v="0"/>
    <x v="216"/>
    <n v="7363"/>
    <n v="2"/>
    <n v="12"/>
    <m/>
    <s v=""/>
    <x v="1"/>
    <x v="216"/>
    <s v="30-39"/>
    <s v=""/>
  </r>
  <r>
    <n v="1231"/>
    <x v="0"/>
    <x v="1"/>
    <x v="11"/>
    <x v="0"/>
    <x v="217"/>
    <n v="6325"/>
    <n v="5"/>
    <n v="18"/>
    <m/>
    <s v=""/>
    <x v="1"/>
    <x v="217"/>
    <s v="30-39"/>
    <s v=""/>
  </r>
  <r>
    <n v="1232"/>
    <x v="0"/>
    <x v="0"/>
    <x v="31"/>
    <x v="0"/>
    <x v="218"/>
    <n v="6139"/>
    <n v="3"/>
    <n v="16"/>
    <d v="2025-05-22T00:00:00"/>
    <n v="45799"/>
    <x v="0"/>
    <x v="218"/>
    <s v="40-49"/>
    <s v=""/>
  </r>
  <r>
    <n v="1233"/>
    <x v="5"/>
    <x v="1"/>
    <x v="21"/>
    <x v="0"/>
    <x v="219"/>
    <n v="9329"/>
    <n v="2"/>
    <n v="5"/>
    <m/>
    <s v=""/>
    <x v="1"/>
    <x v="219"/>
    <s v="50+"/>
    <s v=""/>
  </r>
  <r>
    <n v="1234"/>
    <x v="2"/>
    <x v="0"/>
    <x v="34"/>
    <x v="0"/>
    <x v="220"/>
    <n v="5622"/>
    <n v="1"/>
    <n v="15"/>
    <m/>
    <s v=""/>
    <x v="1"/>
    <x v="220"/>
    <s v="30-39"/>
    <s v=""/>
  </r>
  <r>
    <n v="1235"/>
    <x v="4"/>
    <x v="0"/>
    <x v="11"/>
    <x v="0"/>
    <x v="221"/>
    <n v="7743"/>
    <n v="1"/>
    <n v="11"/>
    <m/>
    <s v=""/>
    <x v="1"/>
    <x v="221"/>
    <s v="30-39"/>
    <s v=""/>
  </r>
  <r>
    <n v="1236"/>
    <x v="3"/>
    <x v="0"/>
    <x v="20"/>
    <x v="0"/>
    <x v="222"/>
    <n v="9330"/>
    <n v="4"/>
    <n v="18"/>
    <m/>
    <s v=""/>
    <x v="1"/>
    <x v="222"/>
    <s v="Under 30"/>
    <s v=""/>
  </r>
  <r>
    <n v="1237"/>
    <x v="0"/>
    <x v="1"/>
    <x v="16"/>
    <x v="0"/>
    <x v="223"/>
    <n v="5724"/>
    <n v="3"/>
    <n v="4"/>
    <m/>
    <s v=""/>
    <x v="1"/>
    <x v="223"/>
    <s v="40-49"/>
    <s v=""/>
  </r>
  <r>
    <n v="1238"/>
    <x v="0"/>
    <x v="0"/>
    <x v="38"/>
    <x v="2"/>
    <x v="224"/>
    <n v="3058"/>
    <n v="3"/>
    <n v="16"/>
    <d v="2018-09-09T00:00:00"/>
    <n v="43352"/>
    <x v="0"/>
    <x v="224"/>
    <s v="30-39"/>
    <s v=""/>
  </r>
  <r>
    <n v="1239"/>
    <x v="3"/>
    <x v="0"/>
    <x v="4"/>
    <x v="0"/>
    <x v="225"/>
    <n v="3082"/>
    <n v="1"/>
    <n v="0"/>
    <m/>
    <s v=""/>
    <x v="1"/>
    <x v="225"/>
    <s v="40-49"/>
    <s v=""/>
  </r>
  <r>
    <n v="1240"/>
    <x v="4"/>
    <x v="1"/>
    <x v="3"/>
    <x v="0"/>
    <x v="226"/>
    <n v="8545"/>
    <n v="5"/>
    <n v="9"/>
    <m/>
    <s v=""/>
    <x v="1"/>
    <x v="226"/>
    <s v="40-49"/>
    <s v=""/>
  </r>
  <r>
    <n v="1241"/>
    <x v="4"/>
    <x v="1"/>
    <x v="22"/>
    <x v="0"/>
    <x v="227"/>
    <n v="4698"/>
    <n v="2"/>
    <n v="14"/>
    <m/>
    <s v=""/>
    <x v="1"/>
    <x v="227"/>
    <s v="50+"/>
    <s v=""/>
  </r>
  <r>
    <n v="1242"/>
    <x v="2"/>
    <x v="0"/>
    <x v="28"/>
    <x v="1"/>
    <x v="228"/>
    <n v="6935"/>
    <n v="5"/>
    <n v="20"/>
    <m/>
    <s v=""/>
    <x v="1"/>
    <x v="228"/>
    <s v="30-39"/>
    <s v=""/>
  </r>
  <r>
    <n v="1243"/>
    <x v="2"/>
    <x v="2"/>
    <x v="20"/>
    <x v="0"/>
    <x v="39"/>
    <n v="9429"/>
    <n v="5"/>
    <n v="20"/>
    <m/>
    <s v=""/>
    <x v="1"/>
    <x v="229"/>
    <s v="Under 30"/>
    <s v=""/>
  </r>
  <r>
    <n v="1244"/>
    <x v="1"/>
    <x v="1"/>
    <x v="37"/>
    <x v="0"/>
    <x v="229"/>
    <n v="5776"/>
    <n v="1"/>
    <n v="10"/>
    <m/>
    <s v=""/>
    <x v="1"/>
    <x v="230"/>
    <s v="40-49"/>
    <s v=""/>
  </r>
  <r>
    <n v="1245"/>
    <x v="1"/>
    <x v="0"/>
    <x v="10"/>
    <x v="2"/>
    <x v="126"/>
    <n v="5067"/>
    <n v="1"/>
    <n v="12"/>
    <m/>
    <s v=""/>
    <x v="1"/>
    <x v="139"/>
    <s v="50+"/>
    <s v=""/>
  </r>
  <r>
    <n v="1246"/>
    <x v="5"/>
    <x v="0"/>
    <x v="7"/>
    <x v="0"/>
    <x v="230"/>
    <n v="6000"/>
    <n v="1"/>
    <n v="4"/>
    <m/>
    <s v=""/>
    <x v="1"/>
    <x v="231"/>
    <s v="40-49"/>
    <s v=""/>
  </r>
  <r>
    <n v="1247"/>
    <x v="0"/>
    <x v="0"/>
    <x v="9"/>
    <x v="0"/>
    <x v="231"/>
    <n v="7910"/>
    <n v="4"/>
    <n v="0"/>
    <m/>
    <s v=""/>
    <x v="1"/>
    <x v="232"/>
    <s v="50+"/>
    <s v=""/>
  </r>
  <r>
    <n v="1248"/>
    <x v="2"/>
    <x v="2"/>
    <x v="26"/>
    <x v="0"/>
    <x v="232"/>
    <n v="3412"/>
    <n v="5"/>
    <n v="11"/>
    <m/>
    <s v=""/>
    <x v="1"/>
    <x v="233"/>
    <s v="Under 30"/>
    <s v=""/>
  </r>
  <r>
    <n v="1249"/>
    <x v="4"/>
    <x v="0"/>
    <x v="35"/>
    <x v="0"/>
    <x v="233"/>
    <n v="8811"/>
    <n v="3"/>
    <n v="10"/>
    <m/>
    <s v=""/>
    <x v="1"/>
    <x v="234"/>
    <s v="30-39"/>
    <s v=""/>
  </r>
  <r>
    <n v="1250"/>
    <x v="3"/>
    <x v="1"/>
    <x v="21"/>
    <x v="1"/>
    <x v="234"/>
    <n v="3487"/>
    <n v="2"/>
    <n v="16"/>
    <m/>
    <s v=""/>
    <x v="1"/>
    <x v="235"/>
    <s v="50+"/>
    <s v=""/>
  </r>
  <r>
    <n v="1251"/>
    <x v="4"/>
    <x v="1"/>
    <x v="15"/>
    <x v="0"/>
    <x v="11"/>
    <n v="6490"/>
    <n v="4"/>
    <n v="3"/>
    <m/>
    <s v=""/>
    <x v="1"/>
    <x v="236"/>
    <s v="50+"/>
    <s v=""/>
  </r>
  <r>
    <n v="1252"/>
    <x v="0"/>
    <x v="1"/>
    <x v="1"/>
    <x v="0"/>
    <x v="235"/>
    <n v="3412"/>
    <n v="3"/>
    <n v="14"/>
    <m/>
    <s v=""/>
    <x v="1"/>
    <x v="237"/>
    <s v="30-39"/>
    <s v=""/>
  </r>
  <r>
    <n v="1253"/>
    <x v="1"/>
    <x v="0"/>
    <x v="23"/>
    <x v="0"/>
    <x v="236"/>
    <n v="5107"/>
    <n v="5"/>
    <n v="8"/>
    <d v="2019-02-09T00:00:00"/>
    <n v="43505"/>
    <x v="0"/>
    <x v="238"/>
    <s v="Under 30"/>
    <s v=""/>
  </r>
  <r>
    <n v="1254"/>
    <x v="4"/>
    <x v="0"/>
    <x v="38"/>
    <x v="0"/>
    <x v="237"/>
    <n v="5813"/>
    <n v="1"/>
    <n v="20"/>
    <m/>
    <s v=""/>
    <x v="1"/>
    <x v="239"/>
    <s v="30-39"/>
    <s v=""/>
  </r>
  <r>
    <n v="1255"/>
    <x v="5"/>
    <x v="1"/>
    <x v="20"/>
    <x v="0"/>
    <x v="200"/>
    <n v="9309"/>
    <n v="5"/>
    <n v="19"/>
    <m/>
    <s v=""/>
    <x v="1"/>
    <x v="199"/>
    <s v="Under 30"/>
    <s v=""/>
  </r>
  <r>
    <n v="1256"/>
    <x v="0"/>
    <x v="0"/>
    <x v="25"/>
    <x v="2"/>
    <x v="238"/>
    <n v="4581"/>
    <n v="2"/>
    <n v="18"/>
    <m/>
    <s v=""/>
    <x v="1"/>
    <x v="240"/>
    <s v="40-49"/>
    <s v=""/>
  </r>
  <r>
    <n v="1257"/>
    <x v="1"/>
    <x v="0"/>
    <x v="31"/>
    <x v="0"/>
    <x v="239"/>
    <n v="8706"/>
    <n v="4"/>
    <n v="18"/>
    <m/>
    <s v=""/>
    <x v="1"/>
    <x v="241"/>
    <s v="40-49"/>
    <s v=""/>
  </r>
  <r>
    <n v="1258"/>
    <x v="3"/>
    <x v="0"/>
    <x v="15"/>
    <x v="0"/>
    <x v="240"/>
    <n v="5391"/>
    <n v="4"/>
    <n v="11"/>
    <m/>
    <s v=""/>
    <x v="1"/>
    <x v="242"/>
    <s v="50+"/>
    <s v=""/>
  </r>
  <r>
    <n v="1259"/>
    <x v="1"/>
    <x v="1"/>
    <x v="34"/>
    <x v="0"/>
    <x v="241"/>
    <n v="5496"/>
    <n v="2"/>
    <n v="4"/>
    <m/>
    <s v=""/>
    <x v="1"/>
    <x v="243"/>
    <s v="30-39"/>
    <s v=""/>
  </r>
  <r>
    <n v="1260"/>
    <x v="5"/>
    <x v="0"/>
    <x v="13"/>
    <x v="0"/>
    <x v="242"/>
    <n v="8443"/>
    <n v="3"/>
    <n v="9"/>
    <m/>
    <s v=""/>
    <x v="1"/>
    <x v="244"/>
    <s v="Under 30"/>
    <s v=""/>
  </r>
  <r>
    <n v="1261"/>
    <x v="0"/>
    <x v="1"/>
    <x v="17"/>
    <x v="0"/>
    <x v="55"/>
    <n v="8826"/>
    <n v="3"/>
    <n v="16"/>
    <m/>
    <s v=""/>
    <x v="1"/>
    <x v="55"/>
    <s v="50+"/>
    <s v=""/>
  </r>
  <r>
    <n v="1262"/>
    <x v="3"/>
    <x v="1"/>
    <x v="8"/>
    <x v="0"/>
    <x v="243"/>
    <n v="6758"/>
    <n v="4"/>
    <n v="4"/>
    <m/>
    <s v=""/>
    <x v="1"/>
    <x v="245"/>
    <s v="30-39"/>
    <s v=""/>
  </r>
  <r>
    <n v="1263"/>
    <x v="5"/>
    <x v="1"/>
    <x v="24"/>
    <x v="1"/>
    <x v="244"/>
    <n v="8048"/>
    <n v="4"/>
    <n v="15"/>
    <m/>
    <s v=""/>
    <x v="1"/>
    <x v="246"/>
    <s v="50+"/>
    <s v=""/>
  </r>
  <r>
    <n v="1264"/>
    <x v="1"/>
    <x v="1"/>
    <x v="38"/>
    <x v="0"/>
    <x v="245"/>
    <n v="3374"/>
    <n v="1"/>
    <n v="6"/>
    <d v="2023-03-13T00:00:00"/>
    <n v="44998"/>
    <x v="0"/>
    <x v="247"/>
    <s v="30-39"/>
    <s v=""/>
  </r>
  <r>
    <n v="1265"/>
    <x v="5"/>
    <x v="1"/>
    <x v="17"/>
    <x v="0"/>
    <x v="246"/>
    <n v="4710"/>
    <n v="3"/>
    <n v="8"/>
    <m/>
    <s v=""/>
    <x v="1"/>
    <x v="248"/>
    <s v="50+"/>
    <s v=""/>
  </r>
  <r>
    <n v="1266"/>
    <x v="0"/>
    <x v="0"/>
    <x v="13"/>
    <x v="0"/>
    <x v="247"/>
    <n v="7908"/>
    <n v="2"/>
    <n v="2"/>
    <m/>
    <s v=""/>
    <x v="1"/>
    <x v="249"/>
    <s v="Under 30"/>
    <s v=""/>
  </r>
  <r>
    <n v="1267"/>
    <x v="2"/>
    <x v="1"/>
    <x v="21"/>
    <x v="0"/>
    <x v="248"/>
    <n v="6404"/>
    <n v="3"/>
    <n v="14"/>
    <m/>
    <s v=""/>
    <x v="1"/>
    <x v="250"/>
    <s v="50+"/>
    <s v=""/>
  </r>
  <r>
    <n v="1268"/>
    <x v="5"/>
    <x v="0"/>
    <x v="19"/>
    <x v="2"/>
    <x v="249"/>
    <n v="3469"/>
    <n v="1"/>
    <n v="15"/>
    <d v="2017-01-30T00:00:00"/>
    <n v="42765"/>
    <x v="0"/>
    <x v="251"/>
    <s v="40-49"/>
    <s v=""/>
  </r>
  <r>
    <n v="1269"/>
    <x v="5"/>
    <x v="1"/>
    <x v="20"/>
    <x v="0"/>
    <x v="250"/>
    <n v="7164"/>
    <n v="4"/>
    <n v="17"/>
    <m/>
    <s v=""/>
    <x v="1"/>
    <x v="252"/>
    <s v="Under 30"/>
    <s v=""/>
  </r>
  <r>
    <n v="1270"/>
    <x v="1"/>
    <x v="0"/>
    <x v="13"/>
    <x v="0"/>
    <x v="206"/>
    <n v="4083"/>
    <n v="4"/>
    <n v="13"/>
    <d v="2021-11-01T00:00:00"/>
    <n v="44501"/>
    <x v="0"/>
    <x v="253"/>
    <s v="Under 30"/>
    <s v=""/>
  </r>
  <r>
    <n v="1271"/>
    <x v="1"/>
    <x v="2"/>
    <x v="33"/>
    <x v="0"/>
    <x v="251"/>
    <n v="3723"/>
    <n v="1"/>
    <n v="2"/>
    <m/>
    <s v=""/>
    <x v="1"/>
    <x v="254"/>
    <s v="Under 30"/>
    <s v=""/>
  </r>
  <r>
    <n v="1272"/>
    <x v="3"/>
    <x v="1"/>
    <x v="38"/>
    <x v="0"/>
    <x v="252"/>
    <n v="3925"/>
    <n v="2"/>
    <n v="11"/>
    <m/>
    <s v=""/>
    <x v="1"/>
    <x v="255"/>
    <s v="30-39"/>
    <s v=""/>
  </r>
  <r>
    <n v="1273"/>
    <x v="1"/>
    <x v="1"/>
    <x v="4"/>
    <x v="0"/>
    <x v="253"/>
    <n v="4329"/>
    <n v="4"/>
    <n v="8"/>
    <m/>
    <s v=""/>
    <x v="1"/>
    <x v="256"/>
    <s v="40-49"/>
    <s v=""/>
  </r>
  <r>
    <n v="1274"/>
    <x v="4"/>
    <x v="1"/>
    <x v="16"/>
    <x v="0"/>
    <x v="254"/>
    <n v="8654"/>
    <n v="5"/>
    <n v="6"/>
    <m/>
    <s v=""/>
    <x v="1"/>
    <x v="257"/>
    <s v="40-49"/>
    <s v=""/>
  </r>
  <r>
    <n v="1275"/>
    <x v="0"/>
    <x v="0"/>
    <x v="4"/>
    <x v="2"/>
    <x v="255"/>
    <n v="4394"/>
    <n v="4"/>
    <n v="8"/>
    <m/>
    <s v=""/>
    <x v="1"/>
    <x v="258"/>
    <s v="40-49"/>
    <s v=""/>
  </r>
  <r>
    <n v="1276"/>
    <x v="0"/>
    <x v="0"/>
    <x v="7"/>
    <x v="0"/>
    <x v="256"/>
    <n v="3046"/>
    <n v="5"/>
    <n v="12"/>
    <m/>
    <s v=""/>
    <x v="1"/>
    <x v="259"/>
    <s v="40-49"/>
    <s v=""/>
  </r>
  <r>
    <n v="1277"/>
    <x v="2"/>
    <x v="1"/>
    <x v="36"/>
    <x v="0"/>
    <x v="257"/>
    <n v="6511"/>
    <n v="1"/>
    <n v="17"/>
    <m/>
    <s v=""/>
    <x v="1"/>
    <x v="260"/>
    <s v="30-39"/>
    <s v=""/>
  </r>
  <r>
    <n v="1278"/>
    <x v="2"/>
    <x v="0"/>
    <x v="25"/>
    <x v="0"/>
    <x v="258"/>
    <n v="4360"/>
    <n v="1"/>
    <n v="4"/>
    <m/>
    <s v=""/>
    <x v="1"/>
    <x v="261"/>
    <s v="40-49"/>
    <s v=""/>
  </r>
  <r>
    <n v="1279"/>
    <x v="0"/>
    <x v="1"/>
    <x v="36"/>
    <x v="2"/>
    <x v="259"/>
    <n v="9074"/>
    <n v="4"/>
    <n v="12"/>
    <d v="2022-08-20T00:00:00"/>
    <n v="44793"/>
    <x v="0"/>
    <x v="262"/>
    <s v="30-39"/>
    <s v=""/>
  </r>
  <r>
    <n v="1280"/>
    <x v="2"/>
    <x v="1"/>
    <x v="11"/>
    <x v="0"/>
    <x v="260"/>
    <n v="5200"/>
    <n v="3"/>
    <n v="3"/>
    <m/>
    <s v=""/>
    <x v="1"/>
    <x v="263"/>
    <s v="30-39"/>
    <s v=""/>
  </r>
  <r>
    <n v="1281"/>
    <x v="3"/>
    <x v="0"/>
    <x v="8"/>
    <x v="2"/>
    <x v="261"/>
    <n v="5043"/>
    <n v="5"/>
    <n v="1"/>
    <m/>
    <s v=""/>
    <x v="1"/>
    <x v="264"/>
    <s v="30-39"/>
    <s v=""/>
  </r>
  <r>
    <n v="1282"/>
    <x v="1"/>
    <x v="1"/>
    <x v="18"/>
    <x v="0"/>
    <x v="262"/>
    <n v="6664"/>
    <n v="2"/>
    <n v="15"/>
    <m/>
    <s v=""/>
    <x v="1"/>
    <x v="265"/>
    <s v="40-49"/>
    <s v=""/>
  </r>
  <r>
    <n v="1283"/>
    <x v="0"/>
    <x v="0"/>
    <x v="26"/>
    <x v="0"/>
    <x v="263"/>
    <n v="4739"/>
    <n v="4"/>
    <n v="8"/>
    <d v="2018-05-17T00:00:00"/>
    <n v="43237"/>
    <x v="0"/>
    <x v="266"/>
    <s v="Under 30"/>
    <s v=""/>
  </r>
  <r>
    <n v="1284"/>
    <x v="2"/>
    <x v="1"/>
    <x v="18"/>
    <x v="2"/>
    <x v="264"/>
    <n v="7825"/>
    <n v="2"/>
    <n v="8"/>
    <m/>
    <s v=""/>
    <x v="1"/>
    <x v="267"/>
    <s v="40-49"/>
    <s v=""/>
  </r>
  <r>
    <n v="1285"/>
    <x v="0"/>
    <x v="2"/>
    <x v="35"/>
    <x v="0"/>
    <x v="265"/>
    <n v="5869"/>
    <n v="4"/>
    <n v="5"/>
    <m/>
    <s v=""/>
    <x v="1"/>
    <x v="268"/>
    <s v="30-39"/>
    <s v=""/>
  </r>
  <r>
    <n v="1286"/>
    <x v="4"/>
    <x v="1"/>
    <x v="25"/>
    <x v="0"/>
    <x v="266"/>
    <n v="3026"/>
    <n v="3"/>
    <n v="10"/>
    <m/>
    <s v=""/>
    <x v="1"/>
    <x v="269"/>
    <s v="40-49"/>
    <s v=""/>
  </r>
  <r>
    <n v="1287"/>
    <x v="5"/>
    <x v="1"/>
    <x v="37"/>
    <x v="0"/>
    <x v="267"/>
    <n v="6347"/>
    <n v="3"/>
    <n v="0"/>
    <d v="2024-11-01T00:00:00"/>
    <n v="45597"/>
    <x v="0"/>
    <x v="270"/>
    <s v="40-49"/>
    <s v=""/>
  </r>
  <r>
    <n v="1288"/>
    <x v="1"/>
    <x v="0"/>
    <x v="5"/>
    <x v="2"/>
    <x v="254"/>
    <n v="3064"/>
    <n v="3"/>
    <n v="3"/>
    <m/>
    <s v=""/>
    <x v="1"/>
    <x v="257"/>
    <s v="50+"/>
    <s v=""/>
  </r>
  <r>
    <n v="1289"/>
    <x v="0"/>
    <x v="1"/>
    <x v="20"/>
    <x v="0"/>
    <x v="268"/>
    <n v="4195"/>
    <n v="3"/>
    <n v="12"/>
    <d v="2020-07-17T00:00:00"/>
    <n v="44029"/>
    <x v="0"/>
    <x v="209"/>
    <s v="Under 30"/>
    <s v=""/>
  </r>
  <r>
    <n v="1290"/>
    <x v="5"/>
    <x v="2"/>
    <x v="18"/>
    <x v="0"/>
    <x v="269"/>
    <n v="6357"/>
    <n v="1"/>
    <n v="12"/>
    <m/>
    <s v=""/>
    <x v="1"/>
    <x v="271"/>
    <s v="40-49"/>
    <s v=""/>
  </r>
  <r>
    <n v="1291"/>
    <x v="2"/>
    <x v="0"/>
    <x v="3"/>
    <x v="0"/>
    <x v="270"/>
    <n v="8353"/>
    <n v="1"/>
    <n v="12"/>
    <m/>
    <s v=""/>
    <x v="1"/>
    <x v="272"/>
    <s v="40-49"/>
    <s v=""/>
  </r>
  <r>
    <n v="1292"/>
    <x v="5"/>
    <x v="0"/>
    <x v="21"/>
    <x v="0"/>
    <x v="271"/>
    <n v="3445"/>
    <n v="5"/>
    <n v="1"/>
    <m/>
    <s v=""/>
    <x v="1"/>
    <x v="273"/>
    <s v="50+"/>
    <s v=""/>
  </r>
  <r>
    <n v="1293"/>
    <x v="1"/>
    <x v="0"/>
    <x v="24"/>
    <x v="0"/>
    <x v="272"/>
    <n v="9154"/>
    <n v="2"/>
    <n v="8"/>
    <m/>
    <s v=""/>
    <x v="1"/>
    <x v="274"/>
    <s v="50+"/>
    <s v=""/>
  </r>
  <r>
    <n v="1294"/>
    <x v="0"/>
    <x v="0"/>
    <x v="8"/>
    <x v="2"/>
    <x v="273"/>
    <n v="8314"/>
    <n v="4"/>
    <n v="7"/>
    <m/>
    <s v=""/>
    <x v="1"/>
    <x v="275"/>
    <s v="30-39"/>
    <s v=""/>
  </r>
  <r>
    <n v="1295"/>
    <x v="4"/>
    <x v="0"/>
    <x v="31"/>
    <x v="2"/>
    <x v="274"/>
    <n v="8369"/>
    <n v="4"/>
    <n v="6"/>
    <m/>
    <s v=""/>
    <x v="1"/>
    <x v="276"/>
    <s v="40-49"/>
    <s v=""/>
  </r>
  <r>
    <n v="1296"/>
    <x v="2"/>
    <x v="0"/>
    <x v="1"/>
    <x v="2"/>
    <x v="275"/>
    <n v="5790"/>
    <n v="1"/>
    <n v="3"/>
    <m/>
    <s v=""/>
    <x v="1"/>
    <x v="277"/>
    <s v="30-39"/>
    <s v=""/>
  </r>
  <r>
    <n v="1297"/>
    <x v="0"/>
    <x v="0"/>
    <x v="3"/>
    <x v="0"/>
    <x v="276"/>
    <n v="8283"/>
    <n v="4"/>
    <n v="17"/>
    <m/>
    <s v=""/>
    <x v="1"/>
    <x v="278"/>
    <s v="40-49"/>
    <s v=""/>
  </r>
  <r>
    <n v="1298"/>
    <x v="1"/>
    <x v="1"/>
    <x v="21"/>
    <x v="0"/>
    <x v="83"/>
    <n v="4699"/>
    <n v="1"/>
    <n v="2"/>
    <m/>
    <s v=""/>
    <x v="1"/>
    <x v="83"/>
    <s v="50+"/>
    <s v=""/>
  </r>
  <r>
    <n v="1299"/>
    <x v="2"/>
    <x v="1"/>
    <x v="8"/>
    <x v="2"/>
    <x v="277"/>
    <n v="5304"/>
    <n v="5"/>
    <n v="5"/>
    <m/>
    <s v=""/>
    <x v="1"/>
    <x v="279"/>
    <s v="30-39"/>
    <s v=""/>
  </r>
  <r>
    <n v="1300"/>
    <x v="3"/>
    <x v="0"/>
    <x v="12"/>
    <x v="0"/>
    <x v="278"/>
    <n v="5572"/>
    <n v="2"/>
    <n v="11"/>
    <d v="2019-02-15T00:00:00"/>
    <n v="43511"/>
    <x v="0"/>
    <x v="280"/>
    <s v="50+"/>
    <s v=""/>
  </r>
  <r>
    <n v="1301"/>
    <x v="5"/>
    <x v="1"/>
    <x v="29"/>
    <x v="2"/>
    <x v="279"/>
    <n v="8145"/>
    <n v="5"/>
    <n v="11"/>
    <m/>
    <s v=""/>
    <x v="1"/>
    <x v="281"/>
    <s v="Under 30"/>
    <s v=""/>
  </r>
  <r>
    <n v="1302"/>
    <x v="1"/>
    <x v="0"/>
    <x v="9"/>
    <x v="2"/>
    <x v="280"/>
    <n v="7877"/>
    <n v="3"/>
    <n v="20"/>
    <d v="2026-05-03T00:00:00"/>
    <n v="46145"/>
    <x v="0"/>
    <x v="282"/>
    <s v="50+"/>
    <s v=""/>
  </r>
  <r>
    <n v="1303"/>
    <x v="3"/>
    <x v="1"/>
    <x v="22"/>
    <x v="0"/>
    <x v="281"/>
    <n v="3954"/>
    <n v="3"/>
    <n v="7"/>
    <m/>
    <s v=""/>
    <x v="1"/>
    <x v="283"/>
    <s v="50+"/>
    <s v=""/>
  </r>
  <r>
    <n v="1304"/>
    <x v="0"/>
    <x v="1"/>
    <x v="12"/>
    <x v="0"/>
    <x v="282"/>
    <n v="3387"/>
    <n v="3"/>
    <n v="0"/>
    <m/>
    <s v=""/>
    <x v="1"/>
    <x v="284"/>
    <s v="50+"/>
    <s v=""/>
  </r>
  <r>
    <n v="1305"/>
    <x v="4"/>
    <x v="0"/>
    <x v="16"/>
    <x v="0"/>
    <x v="283"/>
    <n v="7371"/>
    <n v="5"/>
    <n v="3"/>
    <m/>
    <s v=""/>
    <x v="1"/>
    <x v="285"/>
    <s v="40-49"/>
    <s v=""/>
  </r>
  <r>
    <n v="1306"/>
    <x v="2"/>
    <x v="0"/>
    <x v="32"/>
    <x v="0"/>
    <x v="284"/>
    <n v="4621"/>
    <n v="4"/>
    <n v="20"/>
    <m/>
    <s v=""/>
    <x v="1"/>
    <x v="286"/>
    <s v="30-39"/>
    <s v=""/>
  </r>
  <r>
    <n v="1307"/>
    <x v="5"/>
    <x v="1"/>
    <x v="4"/>
    <x v="0"/>
    <x v="285"/>
    <n v="3785"/>
    <n v="2"/>
    <n v="10"/>
    <m/>
    <s v=""/>
    <x v="1"/>
    <x v="287"/>
    <s v="40-49"/>
    <s v=""/>
  </r>
  <r>
    <n v="1308"/>
    <x v="2"/>
    <x v="0"/>
    <x v="5"/>
    <x v="2"/>
    <x v="286"/>
    <n v="6879"/>
    <n v="3"/>
    <n v="2"/>
    <m/>
    <s v=""/>
    <x v="1"/>
    <x v="288"/>
    <s v="50+"/>
    <s v=""/>
  </r>
  <r>
    <n v="1309"/>
    <x v="0"/>
    <x v="0"/>
    <x v="11"/>
    <x v="0"/>
    <x v="287"/>
    <n v="6148"/>
    <n v="3"/>
    <n v="12"/>
    <m/>
    <s v=""/>
    <x v="1"/>
    <x v="289"/>
    <s v="30-39"/>
    <s v=""/>
  </r>
  <r>
    <n v="1310"/>
    <x v="2"/>
    <x v="1"/>
    <x v="9"/>
    <x v="0"/>
    <x v="288"/>
    <n v="9099"/>
    <n v="3"/>
    <n v="16"/>
    <m/>
    <s v=""/>
    <x v="1"/>
    <x v="290"/>
    <s v="50+"/>
    <s v=""/>
  </r>
  <r>
    <n v="1311"/>
    <x v="5"/>
    <x v="0"/>
    <x v="7"/>
    <x v="0"/>
    <x v="289"/>
    <n v="6631"/>
    <n v="2"/>
    <n v="9"/>
    <d v="2026-06-21T00:00:00"/>
    <n v="46194"/>
    <x v="0"/>
    <x v="291"/>
    <s v="40-49"/>
    <s v=""/>
  </r>
  <r>
    <n v="1312"/>
    <x v="0"/>
    <x v="1"/>
    <x v="13"/>
    <x v="0"/>
    <x v="290"/>
    <n v="4041"/>
    <n v="3"/>
    <n v="20"/>
    <m/>
    <s v=""/>
    <x v="1"/>
    <x v="292"/>
    <s v="Under 30"/>
    <s v=""/>
  </r>
  <r>
    <n v="1313"/>
    <x v="2"/>
    <x v="1"/>
    <x v="0"/>
    <x v="0"/>
    <x v="291"/>
    <n v="2989"/>
    <n v="2"/>
    <n v="11"/>
    <m/>
    <s v=""/>
    <x v="1"/>
    <x v="293"/>
    <s v="50+"/>
    <s v=""/>
  </r>
  <r>
    <n v="1314"/>
    <x v="4"/>
    <x v="2"/>
    <x v="34"/>
    <x v="0"/>
    <x v="292"/>
    <n v="8336"/>
    <n v="3"/>
    <n v="14"/>
    <m/>
    <s v=""/>
    <x v="1"/>
    <x v="294"/>
    <s v="30-39"/>
    <s v=""/>
  </r>
  <r>
    <n v="1315"/>
    <x v="1"/>
    <x v="1"/>
    <x v="8"/>
    <x v="0"/>
    <x v="129"/>
    <n v="3780"/>
    <n v="5"/>
    <n v="20"/>
    <m/>
    <s v=""/>
    <x v="1"/>
    <x v="128"/>
    <s v="30-39"/>
    <s v=""/>
  </r>
  <r>
    <n v="1316"/>
    <x v="0"/>
    <x v="0"/>
    <x v="36"/>
    <x v="0"/>
    <x v="293"/>
    <n v="4498"/>
    <n v="5"/>
    <n v="9"/>
    <m/>
    <s v=""/>
    <x v="1"/>
    <x v="295"/>
    <s v="30-39"/>
    <s v=""/>
  </r>
  <r>
    <n v="1317"/>
    <x v="1"/>
    <x v="0"/>
    <x v="28"/>
    <x v="0"/>
    <x v="294"/>
    <n v="4515"/>
    <n v="2"/>
    <n v="13"/>
    <d v="2022-11-17T00:00:00"/>
    <n v="44882"/>
    <x v="0"/>
    <x v="296"/>
    <s v="30-39"/>
    <s v=""/>
  </r>
  <r>
    <n v="1318"/>
    <x v="0"/>
    <x v="1"/>
    <x v="38"/>
    <x v="0"/>
    <x v="295"/>
    <n v="5393"/>
    <n v="5"/>
    <n v="12"/>
    <m/>
    <s v=""/>
    <x v="1"/>
    <x v="297"/>
    <s v="30-39"/>
    <s v=""/>
  </r>
  <r>
    <n v="1319"/>
    <x v="4"/>
    <x v="0"/>
    <x v="31"/>
    <x v="2"/>
    <x v="296"/>
    <n v="6936"/>
    <n v="2"/>
    <n v="4"/>
    <m/>
    <s v=""/>
    <x v="1"/>
    <x v="298"/>
    <s v="40-49"/>
    <s v=""/>
  </r>
  <r>
    <n v="1320"/>
    <x v="1"/>
    <x v="0"/>
    <x v="23"/>
    <x v="0"/>
    <x v="297"/>
    <n v="9250"/>
    <n v="5"/>
    <n v="5"/>
    <m/>
    <s v=""/>
    <x v="1"/>
    <x v="299"/>
    <s v="Under 30"/>
    <s v=""/>
  </r>
  <r>
    <n v="1321"/>
    <x v="3"/>
    <x v="1"/>
    <x v="9"/>
    <x v="0"/>
    <x v="298"/>
    <n v="7838"/>
    <n v="5"/>
    <n v="1"/>
    <m/>
    <s v=""/>
    <x v="1"/>
    <x v="300"/>
    <s v="50+"/>
    <s v=""/>
  </r>
  <r>
    <n v="1322"/>
    <x v="5"/>
    <x v="0"/>
    <x v="13"/>
    <x v="0"/>
    <x v="299"/>
    <n v="7233"/>
    <n v="2"/>
    <n v="16"/>
    <m/>
    <s v=""/>
    <x v="1"/>
    <x v="301"/>
    <s v="Under 30"/>
    <s v=""/>
  </r>
  <r>
    <n v="1323"/>
    <x v="3"/>
    <x v="0"/>
    <x v="16"/>
    <x v="0"/>
    <x v="169"/>
    <n v="8233"/>
    <n v="4"/>
    <n v="3"/>
    <d v="2025-07-20T00:00:00"/>
    <n v="45858"/>
    <x v="0"/>
    <x v="302"/>
    <s v="40-49"/>
    <s v=""/>
  </r>
  <r>
    <n v="1324"/>
    <x v="2"/>
    <x v="0"/>
    <x v="1"/>
    <x v="0"/>
    <x v="300"/>
    <n v="3898"/>
    <n v="5"/>
    <n v="13"/>
    <m/>
    <s v=""/>
    <x v="1"/>
    <x v="303"/>
    <s v="30-39"/>
    <s v=""/>
  </r>
  <r>
    <n v="1325"/>
    <x v="4"/>
    <x v="0"/>
    <x v="6"/>
    <x v="0"/>
    <x v="301"/>
    <n v="5126"/>
    <n v="3"/>
    <n v="9"/>
    <m/>
    <s v=""/>
    <x v="1"/>
    <x v="304"/>
    <s v="Under 30"/>
    <s v=""/>
  </r>
  <r>
    <n v="1326"/>
    <x v="3"/>
    <x v="1"/>
    <x v="24"/>
    <x v="0"/>
    <x v="302"/>
    <n v="6047"/>
    <n v="4"/>
    <n v="2"/>
    <d v="2024-11-03T00:00:00"/>
    <n v="45599"/>
    <x v="0"/>
    <x v="305"/>
    <s v="50+"/>
    <s v=""/>
  </r>
  <r>
    <n v="1327"/>
    <x v="0"/>
    <x v="0"/>
    <x v="34"/>
    <x v="0"/>
    <x v="303"/>
    <n v="3695"/>
    <n v="2"/>
    <n v="2"/>
    <m/>
    <s v=""/>
    <x v="1"/>
    <x v="306"/>
    <s v="30-39"/>
    <s v=""/>
  </r>
  <r>
    <n v="1328"/>
    <x v="2"/>
    <x v="0"/>
    <x v="24"/>
    <x v="0"/>
    <x v="304"/>
    <n v="9216"/>
    <n v="4"/>
    <n v="14"/>
    <m/>
    <s v=""/>
    <x v="1"/>
    <x v="307"/>
    <s v="50+"/>
    <s v=""/>
  </r>
  <r>
    <n v="1329"/>
    <x v="2"/>
    <x v="0"/>
    <x v="18"/>
    <x v="0"/>
    <x v="305"/>
    <n v="4474"/>
    <n v="1"/>
    <n v="5"/>
    <m/>
    <s v=""/>
    <x v="1"/>
    <x v="308"/>
    <s v="40-49"/>
    <s v=""/>
  </r>
  <r>
    <n v="1330"/>
    <x v="3"/>
    <x v="0"/>
    <x v="3"/>
    <x v="0"/>
    <x v="306"/>
    <n v="5709"/>
    <n v="1"/>
    <n v="16"/>
    <m/>
    <s v=""/>
    <x v="1"/>
    <x v="309"/>
    <s v="40-49"/>
    <s v=""/>
  </r>
  <r>
    <n v="1331"/>
    <x v="3"/>
    <x v="0"/>
    <x v="20"/>
    <x v="0"/>
    <x v="307"/>
    <n v="3730"/>
    <n v="5"/>
    <n v="11"/>
    <d v="2024-01-21T00:00:00"/>
    <n v="45312"/>
    <x v="0"/>
    <x v="310"/>
    <s v="Under 30"/>
    <s v=""/>
  </r>
  <r>
    <n v="1332"/>
    <x v="4"/>
    <x v="0"/>
    <x v="25"/>
    <x v="0"/>
    <x v="308"/>
    <n v="7184"/>
    <n v="5"/>
    <n v="19"/>
    <m/>
    <s v=""/>
    <x v="1"/>
    <x v="311"/>
    <s v="40-49"/>
    <s v=""/>
  </r>
  <r>
    <n v="1333"/>
    <x v="5"/>
    <x v="0"/>
    <x v="30"/>
    <x v="0"/>
    <x v="309"/>
    <n v="3523"/>
    <n v="3"/>
    <n v="10"/>
    <d v="2019-05-12T00:00:00"/>
    <n v="43597"/>
    <x v="0"/>
    <x v="312"/>
    <s v="50+"/>
    <s v=""/>
  </r>
  <r>
    <n v="1334"/>
    <x v="3"/>
    <x v="0"/>
    <x v="0"/>
    <x v="0"/>
    <x v="310"/>
    <n v="5740"/>
    <n v="4"/>
    <n v="3"/>
    <m/>
    <s v=""/>
    <x v="1"/>
    <x v="313"/>
    <s v="50+"/>
    <s v=""/>
  </r>
  <r>
    <n v="1335"/>
    <x v="3"/>
    <x v="0"/>
    <x v="24"/>
    <x v="1"/>
    <x v="166"/>
    <n v="9215"/>
    <n v="1"/>
    <n v="5"/>
    <d v="2020-06-26T00:00:00"/>
    <n v="44008"/>
    <x v="0"/>
    <x v="314"/>
    <s v="50+"/>
    <s v=""/>
  </r>
  <r>
    <n v="1336"/>
    <x v="1"/>
    <x v="0"/>
    <x v="21"/>
    <x v="0"/>
    <x v="311"/>
    <n v="8849"/>
    <n v="5"/>
    <n v="0"/>
    <m/>
    <s v=""/>
    <x v="1"/>
    <x v="315"/>
    <s v="50+"/>
    <s v=""/>
  </r>
  <r>
    <n v="1337"/>
    <x v="0"/>
    <x v="0"/>
    <x v="5"/>
    <x v="2"/>
    <x v="312"/>
    <n v="3889"/>
    <n v="4"/>
    <n v="19"/>
    <m/>
    <s v=""/>
    <x v="1"/>
    <x v="6"/>
    <s v="50+"/>
    <s v=""/>
  </r>
  <r>
    <n v="1338"/>
    <x v="1"/>
    <x v="1"/>
    <x v="12"/>
    <x v="0"/>
    <x v="265"/>
    <n v="7378"/>
    <n v="5"/>
    <n v="15"/>
    <m/>
    <s v=""/>
    <x v="1"/>
    <x v="268"/>
    <s v="50+"/>
    <s v=""/>
  </r>
  <r>
    <n v="1339"/>
    <x v="1"/>
    <x v="1"/>
    <x v="21"/>
    <x v="0"/>
    <x v="313"/>
    <n v="3735"/>
    <n v="5"/>
    <n v="14"/>
    <m/>
    <s v=""/>
    <x v="1"/>
    <x v="316"/>
    <s v="50+"/>
    <s v=""/>
  </r>
  <r>
    <n v="1340"/>
    <x v="2"/>
    <x v="1"/>
    <x v="6"/>
    <x v="0"/>
    <x v="314"/>
    <n v="5095"/>
    <n v="1"/>
    <n v="16"/>
    <m/>
    <s v=""/>
    <x v="1"/>
    <x v="317"/>
    <s v="Under 30"/>
    <s v=""/>
  </r>
  <r>
    <n v="1341"/>
    <x v="5"/>
    <x v="0"/>
    <x v="36"/>
    <x v="0"/>
    <x v="315"/>
    <n v="2955"/>
    <n v="1"/>
    <n v="7"/>
    <m/>
    <s v=""/>
    <x v="1"/>
    <x v="318"/>
    <s v="30-39"/>
    <s v=""/>
  </r>
  <r>
    <n v="1342"/>
    <x v="0"/>
    <x v="0"/>
    <x v="26"/>
    <x v="0"/>
    <x v="25"/>
    <n v="3870"/>
    <n v="5"/>
    <n v="11"/>
    <m/>
    <s v=""/>
    <x v="1"/>
    <x v="25"/>
    <s v="Under 30"/>
    <s v=""/>
  </r>
  <r>
    <n v="1343"/>
    <x v="4"/>
    <x v="0"/>
    <x v="12"/>
    <x v="0"/>
    <x v="316"/>
    <n v="4758"/>
    <n v="2"/>
    <n v="20"/>
    <m/>
    <s v=""/>
    <x v="1"/>
    <x v="319"/>
    <s v="50+"/>
    <s v=""/>
  </r>
  <r>
    <n v="1344"/>
    <x v="4"/>
    <x v="1"/>
    <x v="2"/>
    <x v="0"/>
    <x v="317"/>
    <n v="5301"/>
    <n v="5"/>
    <n v="9"/>
    <m/>
    <s v=""/>
    <x v="1"/>
    <x v="320"/>
    <s v="Under 30"/>
    <s v=""/>
  </r>
  <r>
    <n v="1345"/>
    <x v="3"/>
    <x v="0"/>
    <x v="24"/>
    <x v="2"/>
    <x v="318"/>
    <n v="9144"/>
    <n v="5"/>
    <n v="14"/>
    <m/>
    <s v=""/>
    <x v="1"/>
    <x v="321"/>
    <s v="50+"/>
    <s v=""/>
  </r>
  <r>
    <n v="1346"/>
    <x v="3"/>
    <x v="1"/>
    <x v="20"/>
    <x v="2"/>
    <x v="319"/>
    <n v="8579"/>
    <n v="3"/>
    <n v="8"/>
    <m/>
    <s v=""/>
    <x v="1"/>
    <x v="322"/>
    <s v="Under 30"/>
    <s v=""/>
  </r>
  <r>
    <n v="1347"/>
    <x v="4"/>
    <x v="1"/>
    <x v="38"/>
    <x v="0"/>
    <x v="320"/>
    <n v="7019"/>
    <n v="3"/>
    <n v="1"/>
    <m/>
    <s v=""/>
    <x v="1"/>
    <x v="323"/>
    <s v="30-39"/>
    <s v=""/>
  </r>
  <r>
    <n v="1348"/>
    <x v="3"/>
    <x v="0"/>
    <x v="23"/>
    <x v="0"/>
    <x v="321"/>
    <n v="8944"/>
    <n v="3"/>
    <n v="4"/>
    <m/>
    <s v=""/>
    <x v="1"/>
    <x v="324"/>
    <s v="Under 30"/>
    <s v=""/>
  </r>
  <r>
    <n v="1349"/>
    <x v="5"/>
    <x v="0"/>
    <x v="29"/>
    <x v="0"/>
    <x v="322"/>
    <n v="7863"/>
    <n v="2"/>
    <n v="5"/>
    <m/>
    <s v=""/>
    <x v="1"/>
    <x v="325"/>
    <s v="Under 30"/>
    <s v=""/>
  </r>
  <r>
    <n v="1350"/>
    <x v="1"/>
    <x v="1"/>
    <x v="37"/>
    <x v="0"/>
    <x v="323"/>
    <n v="6630"/>
    <n v="2"/>
    <n v="6"/>
    <d v="2023-09-26T00:00:00"/>
    <n v="45195"/>
    <x v="0"/>
    <x v="326"/>
    <s v="40-49"/>
    <s v=""/>
  </r>
  <r>
    <m/>
    <x v="6"/>
    <x v="3"/>
    <x v="39"/>
    <x v="3"/>
    <x v="324"/>
    <m/>
    <m/>
    <m/>
    <m/>
    <m/>
    <x v="2"/>
    <x v="327"/>
    <m/>
    <s v=""/>
  </r>
  <r>
    <m/>
    <x v="6"/>
    <x v="3"/>
    <x v="39"/>
    <x v="3"/>
    <x v="324"/>
    <m/>
    <m/>
    <m/>
    <m/>
    <m/>
    <x v="2"/>
    <x v="32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7"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s>
  <rowFields count="1">
    <field x="11"/>
  </rowFields>
  <rowItems count="4">
    <i>
      <x/>
    </i>
    <i>
      <x v="1"/>
    </i>
    <i>
      <x v="2"/>
    </i>
    <i t="grand">
      <x/>
    </i>
  </rowItems>
  <colItems count="1">
    <i/>
  </colItems>
  <dataFields count="1">
    <dataField name="Count of Employee_ID" fld="0" subtotal="count" baseField="0" baseItem="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0" firstHeaderRow="1" firstDataRow="1" firstDataCol="1"/>
  <pivotFields count="15">
    <pivotField dataField="1" showAll="0"/>
    <pivotField axis="axisRow" showAll="0">
      <items count="8">
        <item x="4"/>
        <item x="5"/>
        <item x="0"/>
        <item x="1"/>
        <item x="2"/>
        <item x="3"/>
        <item x="6"/>
        <item t="default"/>
      </items>
    </pivotField>
    <pivotField showAll="0">
      <items count="5">
        <item x="2"/>
        <item x="0"/>
        <item x="1"/>
        <item x="3"/>
        <item t="default"/>
      </items>
    </pivotField>
    <pivotField showAll="0"/>
    <pivotField showAll="0">
      <items count="5">
        <item x="1"/>
        <item h="1" x="0"/>
        <item h="1" x="2"/>
        <item h="1" x="3"/>
        <item t="default"/>
      </items>
    </pivotField>
    <pivotField showAll="0"/>
    <pivotField showAll="0"/>
    <pivotField showAll="0"/>
    <pivotField showAll="0"/>
    <pivotField showAll="0"/>
    <pivotField showAll="0"/>
    <pivotField showAll="0">
      <items count="4">
        <item x="1"/>
        <item h="1" x="0"/>
        <item h="1"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Employee_ID" fld="0"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2" firstHeaderRow="1" firstDataRow="2" firstDataCol="1"/>
  <pivotFields count="15">
    <pivotField dataField="1" showAll="0"/>
    <pivotField axis="axisRow" showAll="0">
      <items count="8">
        <item x="4"/>
        <item x="5"/>
        <item x="0"/>
        <item x="1"/>
        <item x="2"/>
        <item x="3"/>
        <item x="6"/>
        <item t="default"/>
      </items>
    </pivotField>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s>
  <rowFields count="1">
    <field x="1"/>
  </rowFields>
  <rowItems count="8">
    <i>
      <x/>
    </i>
    <i>
      <x v="1"/>
    </i>
    <i>
      <x v="2"/>
    </i>
    <i>
      <x v="3"/>
    </i>
    <i>
      <x v="4"/>
    </i>
    <i>
      <x v="5"/>
    </i>
    <i>
      <x v="6"/>
    </i>
    <i t="grand">
      <x/>
    </i>
  </rowItems>
  <colFields count="1">
    <field x="11"/>
  </colFields>
  <colItems count="4">
    <i>
      <x/>
    </i>
    <i>
      <x v="1"/>
    </i>
    <i>
      <x v="2"/>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15">
    <pivotField showAll="0"/>
    <pivotField axis="axisRow" showAll="0">
      <items count="8">
        <item x="4"/>
        <item x="5"/>
        <item x="0"/>
        <item x="1"/>
        <item x="2"/>
        <item x="3"/>
        <item x="6"/>
        <item t="default"/>
      </items>
    </pivotField>
    <pivotField showAll="0"/>
    <pivotField showAll="0"/>
    <pivotField showAll="0"/>
    <pivotField showAll="0">
      <items count="326">
        <item x="215"/>
        <item x="77"/>
        <item x="281"/>
        <item x="293"/>
        <item x="320"/>
        <item x="126"/>
        <item x="200"/>
        <item x="97"/>
        <item x="139"/>
        <item x="146"/>
        <item x="189"/>
        <item x="148"/>
        <item x="46"/>
        <item x="309"/>
        <item x="74"/>
        <item x="20"/>
        <item x="184"/>
        <item x="237"/>
        <item x="304"/>
        <item x="279"/>
        <item x="248"/>
        <item x="171"/>
        <item x="231"/>
        <item x="264"/>
        <item x="125"/>
        <item x="198"/>
        <item x="253"/>
        <item x="249"/>
        <item x="155"/>
        <item x="89"/>
        <item x="108"/>
        <item x="154"/>
        <item x="261"/>
        <item x="101"/>
        <item x="254"/>
        <item x="23"/>
        <item x="134"/>
        <item x="163"/>
        <item x="69"/>
        <item x="81"/>
        <item x="144"/>
        <item x="297"/>
        <item x="168"/>
        <item x="88"/>
        <item x="318"/>
        <item x="48"/>
        <item x="64"/>
        <item x="57"/>
        <item x="41"/>
        <item x="287"/>
        <item x="278"/>
        <item x="142"/>
        <item x="298"/>
        <item x="225"/>
        <item x="149"/>
        <item x="56"/>
        <item x="269"/>
        <item x="224"/>
        <item x="187"/>
        <item x="150"/>
        <item x="117"/>
        <item x="38"/>
        <item x="18"/>
        <item x="15"/>
        <item x="275"/>
        <item x="51"/>
        <item x="199"/>
        <item x="157"/>
        <item x="35"/>
        <item x="277"/>
        <item x="226"/>
        <item x="192"/>
        <item x="246"/>
        <item x="263"/>
        <item x="315"/>
        <item x="76"/>
        <item x="177"/>
        <item x="174"/>
        <item x="12"/>
        <item x="94"/>
        <item x="100"/>
        <item x="115"/>
        <item x="268"/>
        <item x="143"/>
        <item x="206"/>
        <item x="30"/>
        <item x="179"/>
        <item x="272"/>
        <item x="178"/>
        <item x="228"/>
        <item x="236"/>
        <item x="220"/>
        <item x="243"/>
        <item x="45"/>
        <item x="238"/>
        <item x="96"/>
        <item x="156"/>
        <item x="252"/>
        <item x="319"/>
        <item x="322"/>
        <item x="208"/>
        <item x="5"/>
        <item x="295"/>
        <item x="106"/>
        <item x="28"/>
        <item x="98"/>
        <item x="79"/>
        <item x="24"/>
        <item x="80"/>
        <item x="286"/>
        <item x="207"/>
        <item x="194"/>
        <item x="222"/>
        <item x="300"/>
        <item x="257"/>
        <item x="317"/>
        <item x="265"/>
        <item x="54"/>
        <item x="129"/>
        <item x="229"/>
        <item x="305"/>
        <item x="113"/>
        <item x="230"/>
        <item x="47"/>
        <item x="26"/>
        <item x="109"/>
        <item x="1"/>
        <item x="219"/>
        <item x="180"/>
        <item x="42"/>
        <item x="216"/>
        <item x="182"/>
        <item x="58"/>
        <item x="314"/>
        <item x="233"/>
        <item x="209"/>
        <item x="110"/>
        <item x="9"/>
        <item x="50"/>
        <item x="251"/>
        <item x="36"/>
        <item x="176"/>
        <item x="140"/>
        <item x="292"/>
        <item x="175"/>
        <item x="197"/>
        <item x="160"/>
        <item x="121"/>
        <item x="167"/>
        <item x="214"/>
        <item x="138"/>
        <item x="40"/>
        <item x="8"/>
        <item x="255"/>
        <item x="232"/>
        <item x="202"/>
        <item x="32"/>
        <item x="266"/>
        <item x="153"/>
        <item x="99"/>
        <item x="247"/>
        <item x="19"/>
        <item x="158"/>
        <item x="3"/>
        <item x="308"/>
        <item x="262"/>
        <item x="201"/>
        <item x="119"/>
        <item x="65"/>
        <item x="102"/>
        <item x="111"/>
        <item x="259"/>
        <item x="145"/>
        <item x="14"/>
        <item x="311"/>
        <item x="166"/>
        <item x="93"/>
        <item x="63"/>
        <item x="29"/>
        <item x="250"/>
        <item x="82"/>
        <item x="217"/>
        <item x="116"/>
        <item x="17"/>
        <item x="283"/>
        <item x="211"/>
        <item x="159"/>
        <item x="271"/>
        <item x="52"/>
        <item x="120"/>
        <item x="302"/>
        <item x="313"/>
        <item x="303"/>
        <item x="306"/>
        <item x="169"/>
        <item x="13"/>
        <item x="307"/>
        <item x="170"/>
        <item x="21"/>
        <item x="55"/>
        <item x="276"/>
        <item x="164"/>
        <item x="173"/>
        <item x="239"/>
        <item x="95"/>
        <item x="151"/>
        <item x="53"/>
        <item x="242"/>
        <item x="132"/>
        <item x="241"/>
        <item x="227"/>
        <item x="244"/>
        <item x="256"/>
        <item x="135"/>
        <item x="186"/>
        <item x="122"/>
        <item x="285"/>
        <item x="31"/>
        <item x="71"/>
        <item x="60"/>
        <item x="83"/>
        <item x="203"/>
        <item x="284"/>
        <item x="85"/>
        <item x="312"/>
        <item x="296"/>
        <item x="112"/>
        <item x="181"/>
        <item x="25"/>
        <item x="193"/>
        <item x="103"/>
        <item x="107"/>
        <item x="114"/>
        <item x="267"/>
        <item x="235"/>
        <item x="141"/>
        <item x="290"/>
        <item x="195"/>
        <item x="131"/>
        <item x="323"/>
        <item x="124"/>
        <item x="4"/>
        <item x="152"/>
        <item x="299"/>
        <item x="90"/>
        <item x="104"/>
        <item x="91"/>
        <item x="43"/>
        <item x="0"/>
        <item x="161"/>
        <item x="240"/>
        <item x="34"/>
        <item x="6"/>
        <item x="11"/>
        <item x="234"/>
        <item x="294"/>
        <item x="274"/>
        <item x="162"/>
        <item x="212"/>
        <item x="133"/>
        <item x="75"/>
        <item x="49"/>
        <item x="316"/>
        <item x="185"/>
        <item x="260"/>
        <item x="310"/>
        <item x="16"/>
        <item x="7"/>
        <item x="218"/>
        <item x="59"/>
        <item x="210"/>
        <item x="87"/>
        <item x="245"/>
        <item x="78"/>
        <item x="280"/>
        <item x="289"/>
        <item x="213"/>
        <item x="273"/>
        <item x="188"/>
        <item x="136"/>
        <item x="2"/>
        <item x="92"/>
        <item x="165"/>
        <item x="10"/>
        <item x="44"/>
        <item x="73"/>
        <item x="147"/>
        <item x="66"/>
        <item x="62"/>
        <item x="321"/>
        <item x="301"/>
        <item x="61"/>
        <item x="70"/>
        <item x="183"/>
        <item x="128"/>
        <item x="67"/>
        <item x="270"/>
        <item x="84"/>
        <item x="68"/>
        <item x="22"/>
        <item x="86"/>
        <item x="72"/>
        <item x="190"/>
        <item x="130"/>
        <item x="39"/>
        <item x="37"/>
        <item x="223"/>
        <item x="258"/>
        <item x="105"/>
        <item x="33"/>
        <item x="27"/>
        <item x="282"/>
        <item x="191"/>
        <item x="196"/>
        <item x="123"/>
        <item x="137"/>
        <item x="118"/>
        <item x="127"/>
        <item x="221"/>
        <item x="288"/>
        <item x="205"/>
        <item x="172"/>
        <item x="291"/>
        <item x="204"/>
        <item x="324"/>
        <item t="default"/>
      </items>
    </pivotField>
    <pivotField showAll="0"/>
    <pivotField showAll="0"/>
    <pivotField showAll="0"/>
    <pivotField showAll="0"/>
    <pivotField showAll="0"/>
    <pivotField showAll="0"/>
    <pivotField dataField="1" showAll="0">
      <items count="329">
        <item x="18"/>
        <item x="247"/>
        <item x="314"/>
        <item x="90"/>
        <item x="296"/>
        <item x="121"/>
        <item x="34"/>
        <item x="11"/>
        <item x="137"/>
        <item x="165"/>
        <item x="251"/>
        <item x="266"/>
        <item x="53"/>
        <item x="39"/>
        <item x="140"/>
        <item x="238"/>
        <item x="97"/>
        <item x="135"/>
        <item x="293"/>
        <item x="24"/>
        <item x="107"/>
        <item x="172"/>
        <item x="204"/>
        <item x="290"/>
        <item x="221"/>
        <item x="160"/>
        <item x="51"/>
        <item x="126"/>
        <item x="224"/>
        <item x="326"/>
        <item x="136"/>
        <item x="123"/>
        <item x="183"/>
        <item x="0"/>
        <item x="195"/>
        <item x="191"/>
        <item x="284"/>
        <item x="27"/>
        <item x="33"/>
        <item x="105"/>
        <item x="261"/>
        <item x="223"/>
        <item x="37"/>
        <item x="229"/>
        <item x="116"/>
        <item x="129"/>
        <item x="190"/>
        <item x="86"/>
        <item x="22"/>
        <item x="84"/>
        <item x="68"/>
        <item x="272"/>
        <item x="67"/>
        <item x="280"/>
        <item x="175"/>
        <item x="127"/>
        <item x="70"/>
        <item x="61"/>
        <item x="304"/>
        <item x="324"/>
        <item x="218"/>
        <item x="66"/>
        <item x="262"/>
        <item x="147"/>
        <item x="73"/>
        <item x="203"/>
        <item x="69"/>
        <item x="44"/>
        <item x="10"/>
        <item x="92"/>
        <item x="2"/>
        <item x="186"/>
        <item x="31"/>
        <item x="215"/>
        <item x="188"/>
        <item x="275"/>
        <item x="212"/>
        <item x="209"/>
        <item x="59"/>
        <item x="7"/>
        <item x="16"/>
        <item x="142"/>
        <item x="313"/>
        <item x="270"/>
        <item x="310"/>
        <item x="180"/>
        <item x="263"/>
        <item x="185"/>
        <item x="319"/>
        <item x="49"/>
        <item x="35"/>
        <item x="75"/>
        <item x="132"/>
        <item x="72"/>
        <item x="211"/>
        <item x="282"/>
        <item x="162"/>
        <item x="276"/>
        <item x="164"/>
        <item x="291"/>
        <item x="235"/>
        <item x="236"/>
        <item x="312"/>
        <item x="242"/>
        <item x="161"/>
        <item x="214"/>
        <item x="43"/>
        <item x="87"/>
        <item x="91"/>
        <item x="104"/>
        <item x="62"/>
        <item x="181"/>
        <item x="108"/>
        <item x="103"/>
        <item x="301"/>
        <item x="152"/>
        <item x="4"/>
        <item x="124"/>
        <item x="130"/>
        <item x="194"/>
        <item x="292"/>
        <item x="56"/>
        <item x="305"/>
        <item x="237"/>
        <item x="118"/>
        <item x="253"/>
        <item x="141"/>
        <item x="114"/>
        <item x="192"/>
        <item x="52"/>
        <item x="25"/>
        <item x="112"/>
        <item x="298"/>
        <item x="6"/>
        <item x="85"/>
        <item x="286"/>
        <item x="202"/>
        <item x="83"/>
        <item x="60"/>
        <item x="71"/>
        <item x="287"/>
        <item x="122"/>
        <item x="134"/>
        <item x="259"/>
        <item x="246"/>
        <item x="227"/>
        <item x="243"/>
        <item x="131"/>
        <item x="244"/>
        <item x="302"/>
        <item x="151"/>
        <item x="95"/>
        <item x="241"/>
        <item x="173"/>
        <item x="278"/>
        <item x="55"/>
        <item x="78"/>
        <item x="21"/>
        <item x="170"/>
        <item x="13"/>
        <item x="169"/>
        <item x="309"/>
        <item x="306"/>
        <item x="316"/>
        <item x="120"/>
        <item x="273"/>
        <item x="159"/>
        <item x="210"/>
        <item x="285"/>
        <item x="17"/>
        <item x="217"/>
        <item x="82"/>
        <item x="252"/>
        <item x="29"/>
        <item x="63"/>
        <item x="93"/>
        <item x="166"/>
        <item x="315"/>
        <item x="14"/>
        <item x="145"/>
        <item x="111"/>
        <item x="102"/>
        <item x="65"/>
        <item x="119"/>
        <item x="200"/>
        <item x="265"/>
        <item x="311"/>
        <item x="3"/>
        <item x="158"/>
        <item x="19"/>
        <item x="249"/>
        <item x="99"/>
        <item x="153"/>
        <item x="269"/>
        <item x="32"/>
        <item x="201"/>
        <item x="233"/>
        <item x="258"/>
        <item x="8"/>
        <item x="40"/>
        <item x="213"/>
        <item x="167"/>
        <item x="196"/>
        <item x="294"/>
        <item x="176"/>
        <item x="36"/>
        <item x="254"/>
        <item x="50"/>
        <item x="9"/>
        <item x="110"/>
        <item x="208"/>
        <item x="234"/>
        <item x="317"/>
        <item x="58"/>
        <item x="182"/>
        <item x="216"/>
        <item x="42"/>
        <item x="219"/>
        <item x="1"/>
        <item x="109"/>
        <item x="26"/>
        <item x="47"/>
        <item x="231"/>
        <item x="113"/>
        <item x="308"/>
        <item x="230"/>
        <item x="128"/>
        <item x="54"/>
        <item x="268"/>
        <item x="320"/>
        <item x="260"/>
        <item x="303"/>
        <item x="222"/>
        <item x="193"/>
        <item x="206"/>
        <item x="288"/>
        <item x="80"/>
        <item x="79"/>
        <item x="98"/>
        <item x="28"/>
        <item x="106"/>
        <item x="297"/>
        <item x="5"/>
        <item x="207"/>
        <item x="325"/>
        <item x="322"/>
        <item x="255"/>
        <item x="156"/>
        <item x="96"/>
        <item x="240"/>
        <item x="45"/>
        <item x="245"/>
        <item x="220"/>
        <item x="228"/>
        <item x="178"/>
        <item x="274"/>
        <item x="179"/>
        <item x="30"/>
        <item x="205"/>
        <item x="143"/>
        <item x="115"/>
        <item x="100"/>
        <item x="94"/>
        <item x="12"/>
        <item x="174"/>
        <item x="177"/>
        <item x="76"/>
        <item x="318"/>
        <item x="248"/>
        <item x="226"/>
        <item x="279"/>
        <item x="157"/>
        <item x="198"/>
        <item x="277"/>
        <item x="15"/>
        <item x="38"/>
        <item x="117"/>
        <item x="150"/>
        <item x="187"/>
        <item x="271"/>
        <item x="149"/>
        <item x="225"/>
        <item x="300"/>
        <item x="289"/>
        <item x="41"/>
        <item x="57"/>
        <item x="64"/>
        <item x="48"/>
        <item x="321"/>
        <item x="88"/>
        <item x="168"/>
        <item x="299"/>
        <item x="144"/>
        <item x="81"/>
        <item x="163"/>
        <item x="133"/>
        <item x="23"/>
        <item x="257"/>
        <item x="101"/>
        <item x="264"/>
        <item x="154"/>
        <item x="89"/>
        <item x="155"/>
        <item x="256"/>
        <item x="197"/>
        <item x="125"/>
        <item x="267"/>
        <item x="232"/>
        <item x="171"/>
        <item x="250"/>
        <item x="281"/>
        <item x="307"/>
        <item x="239"/>
        <item x="184"/>
        <item x="20"/>
        <item x="74"/>
        <item x="46"/>
        <item x="148"/>
        <item x="189"/>
        <item x="146"/>
        <item x="138"/>
        <item x="199"/>
        <item x="139"/>
        <item x="323"/>
        <item x="295"/>
        <item x="283"/>
        <item x="77"/>
        <item x="327"/>
        <item t="default"/>
      </items>
    </pivotField>
    <pivotField showAll="0"/>
    <pivotField showAll="0"/>
  </pivotFields>
  <rowFields count="1">
    <field x="1"/>
  </rowFields>
  <rowItems count="8">
    <i>
      <x/>
    </i>
    <i>
      <x v="1"/>
    </i>
    <i>
      <x v="2"/>
    </i>
    <i>
      <x v="3"/>
    </i>
    <i>
      <x v="4"/>
    </i>
    <i>
      <x v="5"/>
    </i>
    <i>
      <x v="6"/>
    </i>
    <i t="grand">
      <x/>
    </i>
  </rowItems>
  <colItems count="1">
    <i/>
  </colItems>
  <dataFields count="1">
    <dataField name="Average of Tenure_Days" fld="1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1" firstHeaderRow="1" firstDataRow="1" firstDataCol="1"/>
  <pivotFields count="15">
    <pivotField showAll="0"/>
    <pivotField axis="axisRow" showAll="0">
      <items count="8">
        <item x="4"/>
        <item x="5"/>
        <item x="0"/>
        <item x="1"/>
        <item x="2"/>
        <item x="3"/>
        <item x="6"/>
        <item t="default"/>
      </items>
    </pivotField>
    <pivotField showAll="0"/>
    <pivotField showAll="0">
      <items count="41">
        <item x="33"/>
        <item x="23"/>
        <item x="6"/>
        <item x="20"/>
        <item x="29"/>
        <item x="2"/>
        <item x="13"/>
        <item x="26"/>
        <item x="36"/>
        <item x="8"/>
        <item x="34"/>
        <item x="14"/>
        <item x="38"/>
        <item x="28"/>
        <item x="11"/>
        <item x="35"/>
        <item x="32"/>
        <item x="1"/>
        <item x="3"/>
        <item x="19"/>
        <item x="16"/>
        <item x="4"/>
        <item x="27"/>
        <item x="18"/>
        <item x="31"/>
        <item x="25"/>
        <item x="37"/>
        <item x="7"/>
        <item x="10"/>
        <item x="15"/>
        <item x="17"/>
        <item x="0"/>
        <item x="12"/>
        <item x="22"/>
        <item x="9"/>
        <item x="21"/>
        <item x="5"/>
        <item x="30"/>
        <item x="24"/>
        <item x="39"/>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Average of Salary" fld="6" subtotal="average" baseField="1"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PivotTable3"/>
  </pivotTables>
  <data>
    <tabular pivotCacheId="1">
      <items count="7">
        <i x="4" s="1"/>
        <i x="5" s="1"/>
        <i x="0" s="1"/>
        <i x="1" s="1"/>
        <i x="2" s="1"/>
        <i x="3"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3"/>
  </pivotTables>
  <data>
    <tabular pivotCacheId="1">
      <items count="4">
        <i x="0" s="1"/>
        <i x="1" s="1"/>
        <i x="2"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mployment_Type" sourceName="Employment_Type">
  <pivotTables>
    <pivotTable tabId="4" name="PivotTable3"/>
  </pivotTables>
  <data>
    <tabular pivotCacheId="1">
      <items count="4">
        <i x="1" s="1"/>
        <i x="0"/>
        <i x="2"/>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4" name="PivotTable3"/>
  </pivotTables>
  <data>
    <tabular pivotCacheId="1">
      <items count="3">
        <i x="1" s="1"/>
        <i x="0"/>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Gender" cache="Slicer_Gender" caption="Gender" rowHeight="241300"/>
  <slicer name="Employment_Type" cache="Slicer_Employment_Type" caption="Employment_Type" rowHeight="241300"/>
  <slicer name="Status"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C4" sqref="C4"/>
    </sheetView>
  </sheetViews>
  <sheetFormatPr defaultRowHeight="14.5" x14ac:dyDescent="0.35"/>
  <cols>
    <col min="1" max="1" width="12.36328125" bestFit="1" customWidth="1"/>
    <col min="2" max="2" width="19.7265625" bestFit="1" customWidth="1"/>
  </cols>
  <sheetData>
    <row r="3" spans="1:2" x14ac:dyDescent="0.35">
      <c r="A3" s="2" t="s">
        <v>27</v>
      </c>
      <c r="B3" t="s">
        <v>30</v>
      </c>
    </row>
    <row r="4" spans="1:2" x14ac:dyDescent="0.35">
      <c r="A4" s="3" t="s">
        <v>31</v>
      </c>
      <c r="B4" s="4">
        <v>285</v>
      </c>
    </row>
    <row r="5" spans="1:2" x14ac:dyDescent="0.35">
      <c r="A5" s="3" t="s">
        <v>32</v>
      </c>
      <c r="B5" s="4">
        <v>65</v>
      </c>
    </row>
    <row r="6" spans="1:2" x14ac:dyDescent="0.35">
      <c r="A6" s="3" t="s">
        <v>28</v>
      </c>
      <c r="B6" s="4"/>
    </row>
    <row r="7" spans="1:2" x14ac:dyDescent="0.35">
      <c r="A7" s="3" t="s">
        <v>29</v>
      </c>
      <c r="B7" s="4">
        <v>350</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14:colorSeries rgb="FF376092"/>
          <x14:colorNegative rgb="FFD00000"/>
          <x14:colorAxis rgb="FF000000"/>
          <x14:colorMarkers rgb="FFD00000"/>
          <x14:colorFirst rgb="FFD00000"/>
          <x14:colorLast rgb="FFD00000"/>
          <x14:colorHigh rgb="FFD00000"/>
          <x14:colorLow rgb="FFD00000"/>
          <x14:sparklines>
            <x14:sparkline>
              <xm:f>pivot_status_summary!A4:A4</xm:f>
              <xm:sqref>C4</xm:sqref>
            </x14:sparkline>
            <x14:sparkline>
              <xm:f>pivot_status_summary!A5:A5</xm:f>
              <xm:sqref>C5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tabSelected="1" zoomScale="50" zoomScaleNormal="50" workbookViewId="0">
      <selection activeCell="Q13" sqref="Q13"/>
    </sheetView>
  </sheetViews>
  <sheetFormatPr defaultRowHeight="14.5" x14ac:dyDescent="0.35"/>
  <cols>
    <col min="1" max="1" width="57.54296875" customWidth="1"/>
    <col min="2" max="2" width="9.7265625" bestFit="1" customWidth="1"/>
    <col min="4" max="4" width="25.1796875" customWidth="1"/>
    <col min="5" max="5" width="9.7265625" bestFit="1" customWidth="1"/>
    <col min="7" max="7" width="19.90625" customWidth="1"/>
  </cols>
  <sheetData>
    <row r="1" spans="1:10" ht="36.5" thickBot="1" x14ac:dyDescent="0.85">
      <c r="A1" s="5" t="s">
        <v>36</v>
      </c>
    </row>
    <row r="2" spans="1:10" ht="15.5" thickTop="1" thickBot="1" x14ac:dyDescent="0.4"/>
    <row r="3" spans="1:10" ht="29" thickBot="1" x14ac:dyDescent="0.7">
      <c r="A3" s="8" t="s">
        <v>37</v>
      </c>
      <c r="B3" s="7">
        <v>350</v>
      </c>
      <c r="D3" s="8" t="s">
        <v>38</v>
      </c>
      <c r="E3" s="7">
        <v>285</v>
      </c>
      <c r="G3" s="8" t="s">
        <v>39</v>
      </c>
      <c r="H3" s="7">
        <v>65</v>
      </c>
    </row>
    <row r="5" spans="1:10" ht="15" thickBot="1" x14ac:dyDescent="0.4"/>
    <row r="6" spans="1:10" ht="29" thickBot="1" x14ac:dyDescent="0.7">
      <c r="A6" s="8" t="s">
        <v>40</v>
      </c>
      <c r="B6" s="7">
        <v>6202</v>
      </c>
      <c r="D6" s="8" t="s">
        <v>41</v>
      </c>
      <c r="E6" s="7">
        <v>1450</v>
      </c>
    </row>
    <row r="12" spans="1:10" ht="28.5" x14ac:dyDescent="0.65">
      <c r="J12"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8" sqref="A3:B11"/>
    </sheetView>
  </sheetViews>
  <sheetFormatPr defaultRowHeight="14.5" x14ac:dyDescent="0.35"/>
  <cols>
    <col min="1" max="1" width="12.36328125" bestFit="1" customWidth="1"/>
    <col min="2" max="2" width="19.7265625" bestFit="1" customWidth="1"/>
  </cols>
  <sheetData>
    <row r="3" spans="1:2" x14ac:dyDescent="0.35">
      <c r="A3" s="2" t="s">
        <v>27</v>
      </c>
      <c r="B3" t="s">
        <v>30</v>
      </c>
    </row>
    <row r="4" spans="1:2" x14ac:dyDescent="0.35">
      <c r="A4" s="3" t="s">
        <v>17</v>
      </c>
      <c r="B4" s="4">
        <v>2</v>
      </c>
    </row>
    <row r="5" spans="1:2" x14ac:dyDescent="0.35">
      <c r="A5" s="3" t="s">
        <v>19</v>
      </c>
      <c r="B5" s="4">
        <v>1</v>
      </c>
    </row>
    <row r="6" spans="1:2" x14ac:dyDescent="0.35">
      <c r="A6" s="3" t="s">
        <v>10</v>
      </c>
      <c r="B6" s="4">
        <v>3</v>
      </c>
    </row>
    <row r="7" spans="1:2" x14ac:dyDescent="0.35">
      <c r="A7" s="3" t="s">
        <v>13</v>
      </c>
      <c r="B7" s="4">
        <v>2</v>
      </c>
    </row>
    <row r="8" spans="1:2" x14ac:dyDescent="0.35">
      <c r="A8" s="3" t="s">
        <v>15</v>
      </c>
      <c r="B8" s="4">
        <v>3</v>
      </c>
    </row>
    <row r="9" spans="1:2" x14ac:dyDescent="0.35">
      <c r="A9" s="3" t="s">
        <v>16</v>
      </c>
      <c r="B9" s="4">
        <v>3</v>
      </c>
    </row>
    <row r="10" spans="1:2" x14ac:dyDescent="0.35">
      <c r="A10" s="3" t="s">
        <v>29</v>
      </c>
      <c r="B10" s="4">
        <v>14</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14:colorSeries rgb="FF376092"/>
          <x14:colorNegative rgb="FFD00000"/>
          <x14:colorAxis rgb="FF000000"/>
          <x14:colorMarkers rgb="FFD00000"/>
          <x14:colorFirst rgb="FFD00000"/>
          <x14:colorLast rgb="FFD00000"/>
          <x14:colorHigh rgb="FFD00000"/>
          <x14:colorLow rgb="FFD00000"/>
          <x14:sparklines>
            <x14:sparkline>
              <xm:f>pivot_headcount_department!B4:B4</xm:f>
              <xm:sqref>D4</xm:sqref>
            </x14:sparkline>
            <x14:sparkline>
              <xm:f>pivot_headcount_department!B5:B5</xm:f>
              <xm:sqref>D5</xm:sqref>
            </x14:sparkline>
            <x14:sparkline>
              <xm:f>pivot_headcount_department!B6:B6</xm:f>
              <xm:sqref>D6</xm:sqref>
            </x14:sparkline>
            <x14:sparkline>
              <xm:f>pivot_headcount_department!B7:B7</xm:f>
              <xm:sqref>D7</xm:sqref>
            </x14:sparkline>
            <x14:sparkline>
              <xm:f>pivot_headcount_department!B8:B8</xm:f>
              <xm:sqref>D8</xm:sqref>
            </x14:sparkline>
            <x14:sparkline>
              <xm:f>pivot_headcount_department!B9:B9</xm:f>
              <xm:sqref>D9</xm:sqref>
            </x14:sparkline>
            <x14:sparkline>
              <xm:f>pivot_headcount_department!C4:C4</xm:f>
              <xm:sqref>E4</xm:sqref>
            </x14:sparkline>
            <x14:sparkline>
              <xm:f>pivot_headcount_department!C5:C5</xm:f>
              <xm:sqref>E5</xm:sqref>
            </x14:sparkline>
            <x14:sparkline>
              <xm:f>pivot_headcount_department!C6:C6</xm:f>
              <xm:sqref>E6</xm:sqref>
            </x14:sparkline>
            <x14:sparkline>
              <xm:f>pivot_headcount_department!C7:C7</xm:f>
              <xm:sqref>E7</xm:sqref>
            </x14:sparkline>
            <x14:sparkline>
              <xm:f>pivot_headcount_department!C8:C8</xm:f>
              <xm:sqref>E8</xm:sqref>
            </x14:sparkline>
            <x14:sparkline>
              <xm:f>pivot_headcount_department!C9:C9</xm:f>
              <xm:sqref>E9</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2"/>
  <sheetViews>
    <sheetView workbookViewId="0">
      <selection activeCell="F5" sqref="F5:F10"/>
    </sheetView>
  </sheetViews>
  <sheetFormatPr defaultRowHeight="14.5" x14ac:dyDescent="0.35"/>
  <cols>
    <col min="1" max="1" width="19.7265625" bestFit="1" customWidth="1"/>
    <col min="2" max="2" width="15.26953125" bestFit="1" customWidth="1"/>
    <col min="3" max="3" width="6" customWidth="1"/>
    <col min="4" max="4" width="6.7265625" customWidth="1"/>
    <col min="5" max="5" width="10.7265625" bestFit="1" customWidth="1"/>
  </cols>
  <sheetData>
    <row r="3" spans="1:5" x14ac:dyDescent="0.35">
      <c r="A3" s="2" t="s">
        <v>30</v>
      </c>
      <c r="B3" s="2" t="s">
        <v>33</v>
      </c>
    </row>
    <row r="4" spans="1:5" x14ac:dyDescent="0.35">
      <c r="A4" s="2" t="s">
        <v>27</v>
      </c>
      <c r="B4" t="s">
        <v>31</v>
      </c>
      <c r="C4" t="s">
        <v>32</v>
      </c>
      <c r="D4" t="s">
        <v>28</v>
      </c>
      <c r="E4" t="s">
        <v>29</v>
      </c>
    </row>
    <row r="5" spans="1:5" x14ac:dyDescent="0.35">
      <c r="A5" s="3" t="s">
        <v>17</v>
      </c>
      <c r="B5" s="4">
        <v>43</v>
      </c>
      <c r="C5" s="4">
        <v>10</v>
      </c>
      <c r="D5" s="4"/>
      <c r="E5" s="4">
        <v>53</v>
      </c>
    </row>
    <row r="6" spans="1:5" x14ac:dyDescent="0.35">
      <c r="A6" s="3" t="s">
        <v>19</v>
      </c>
      <c r="B6" s="4">
        <v>44</v>
      </c>
      <c r="C6" s="4">
        <v>12</v>
      </c>
      <c r="D6" s="4"/>
      <c r="E6" s="4">
        <v>56</v>
      </c>
    </row>
    <row r="7" spans="1:5" x14ac:dyDescent="0.35">
      <c r="A7" s="3" t="s">
        <v>10</v>
      </c>
      <c r="B7" s="4">
        <v>46</v>
      </c>
      <c r="C7" s="4">
        <v>12</v>
      </c>
      <c r="D7" s="4"/>
      <c r="E7" s="4">
        <v>58</v>
      </c>
    </row>
    <row r="8" spans="1:5" x14ac:dyDescent="0.35">
      <c r="A8" s="3" t="s">
        <v>13</v>
      </c>
      <c r="B8" s="4">
        <v>46</v>
      </c>
      <c r="C8" s="4">
        <v>16</v>
      </c>
      <c r="D8" s="4"/>
      <c r="E8" s="4">
        <v>62</v>
      </c>
    </row>
    <row r="9" spans="1:5" x14ac:dyDescent="0.35">
      <c r="A9" s="3" t="s">
        <v>15</v>
      </c>
      <c r="B9" s="4">
        <v>56</v>
      </c>
      <c r="C9" s="4">
        <v>3</v>
      </c>
      <c r="D9" s="4"/>
      <c r="E9" s="4">
        <v>59</v>
      </c>
    </row>
    <row r="10" spans="1:5" x14ac:dyDescent="0.35">
      <c r="A10" s="3" t="s">
        <v>16</v>
      </c>
      <c r="B10" s="4">
        <v>50</v>
      </c>
      <c r="C10" s="4">
        <v>12</v>
      </c>
      <c r="D10" s="4"/>
      <c r="E10" s="4">
        <v>62</v>
      </c>
    </row>
    <row r="11" spans="1:5" x14ac:dyDescent="0.35">
      <c r="A11" s="3" t="s">
        <v>28</v>
      </c>
      <c r="B11" s="4"/>
      <c r="C11" s="4"/>
      <c r="D11" s="4"/>
      <c r="E11" s="4"/>
    </row>
    <row r="12" spans="1:5" x14ac:dyDescent="0.35">
      <c r="A12" s="3" t="s">
        <v>29</v>
      </c>
      <c r="B12" s="4">
        <v>285</v>
      </c>
      <c r="C12" s="4">
        <v>65</v>
      </c>
      <c r="D12" s="4"/>
      <c r="E12" s="4">
        <v>350</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14:colorSeries rgb="FF376092"/>
          <x14:colorNegative rgb="FFD00000"/>
          <x14:colorAxis rgb="FF000000"/>
          <x14:colorMarkers rgb="FFD00000"/>
          <x14:colorFirst rgb="FFD00000"/>
          <x14:colorLast rgb="FFD00000"/>
          <x14:colorHigh rgb="FFD00000"/>
          <x14:colorLow rgb="FFD00000"/>
          <x14:sparklines>
            <x14:sparkline>
              <xm:f>pivot_department_status!A5:E5</xm:f>
              <xm:sqref>F5</xm:sqref>
            </x14:sparkline>
            <x14:sparkline>
              <xm:f>pivot_department_status!A6:E6</xm:f>
              <xm:sqref>F6</xm:sqref>
            </x14:sparkline>
            <x14:sparkline>
              <xm:f>pivot_department_status!A7:E7</xm:f>
              <xm:sqref>F7</xm:sqref>
            </x14:sparkline>
            <x14:sparkline>
              <xm:f>pivot_department_status!A8:E8</xm:f>
              <xm:sqref>F8</xm:sqref>
            </x14:sparkline>
            <x14:sparkline>
              <xm:f>pivot_department_status!A9:E9</xm:f>
              <xm:sqref>F9</xm:sqref>
            </x14:sparkline>
            <x14:sparkline>
              <xm:f>pivot_department_status!A10:E10</xm:f>
              <xm:sqref>F10</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C4" sqref="C4:C9"/>
    </sheetView>
  </sheetViews>
  <sheetFormatPr defaultRowHeight="14.5" x14ac:dyDescent="0.35"/>
  <cols>
    <col min="1" max="1" width="12.36328125" bestFit="1" customWidth="1"/>
    <col min="2" max="2" width="21.36328125" customWidth="1"/>
  </cols>
  <sheetData>
    <row r="3" spans="1:2" x14ac:dyDescent="0.35">
      <c r="A3" s="2" t="s">
        <v>27</v>
      </c>
      <c r="B3" t="s">
        <v>34</v>
      </c>
    </row>
    <row r="4" spans="1:2" x14ac:dyDescent="0.35">
      <c r="A4" s="3" t="s">
        <v>17</v>
      </c>
      <c r="B4" s="4">
        <v>2035.0188679245282</v>
      </c>
    </row>
    <row r="5" spans="1:2" x14ac:dyDescent="0.35">
      <c r="A5" s="3" t="s">
        <v>19</v>
      </c>
      <c r="B5" s="4">
        <v>2118.875</v>
      </c>
    </row>
    <row r="6" spans="1:2" x14ac:dyDescent="0.35">
      <c r="A6" s="3" t="s">
        <v>10</v>
      </c>
      <c r="B6" s="4">
        <v>2154.2586206896553</v>
      </c>
    </row>
    <row r="7" spans="1:2" x14ac:dyDescent="0.35">
      <c r="A7" s="3" t="s">
        <v>13</v>
      </c>
      <c r="B7" s="4">
        <v>2058.2903225806454</v>
      </c>
    </row>
    <row r="8" spans="1:2" x14ac:dyDescent="0.35">
      <c r="A8" s="3" t="s">
        <v>15</v>
      </c>
      <c r="B8" s="4">
        <v>2228.5593220338983</v>
      </c>
    </row>
    <row r="9" spans="1:2" x14ac:dyDescent="0.35">
      <c r="A9" s="3" t="s">
        <v>16</v>
      </c>
      <c r="B9" s="4">
        <v>2221.8709677419356</v>
      </c>
    </row>
    <row r="10" spans="1:2" x14ac:dyDescent="0.35">
      <c r="A10" s="3" t="s">
        <v>28</v>
      </c>
      <c r="B10" s="4"/>
    </row>
    <row r="11" spans="1:2" x14ac:dyDescent="0.35">
      <c r="A11" s="3" t="s">
        <v>29</v>
      </c>
      <c r="B11" s="4">
        <v>2138.042857142857</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14:colorSeries rgb="FF376092"/>
          <x14:colorNegative rgb="FFD00000"/>
          <x14:colorAxis rgb="FF000000"/>
          <x14:colorMarkers rgb="FFD00000"/>
          <x14:colorFirst rgb="FFD00000"/>
          <x14:colorLast rgb="FFD00000"/>
          <x14:colorHigh rgb="FFD00000"/>
          <x14:colorLow rgb="FFD00000"/>
          <x14:sparklines>
            <x14:sparkline>
              <xm:f>pivot_avg_Tenure_department!A4:B4</xm:f>
              <xm:sqref>C4</xm:sqref>
            </x14:sparkline>
            <x14:sparkline>
              <xm:f>pivot_avg_Tenure_department!A5:B5</xm:f>
              <xm:sqref>C5</xm:sqref>
            </x14:sparkline>
            <x14:sparkline>
              <xm:f>pivot_avg_Tenure_department!A6:B6</xm:f>
              <xm:sqref>C6</xm:sqref>
            </x14:sparkline>
            <x14:sparkline>
              <xm:f>pivot_avg_Tenure_department!A7:B7</xm:f>
              <xm:sqref>C7</xm:sqref>
            </x14:sparkline>
            <x14:sparkline>
              <xm:f>pivot_avg_Tenure_department!A8:B8</xm:f>
              <xm:sqref>C8</xm:sqref>
            </x14:sparkline>
            <x14:sparkline>
              <xm:f>pivot_avg_Tenure_department!A9:B9</xm:f>
              <xm:sqref>C9</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8" sqref="A3:B11"/>
    </sheetView>
  </sheetViews>
  <sheetFormatPr defaultRowHeight="14.5" x14ac:dyDescent="0.35"/>
  <cols>
    <col min="1" max="1" width="12.36328125" bestFit="1" customWidth="1"/>
    <col min="2" max="2" width="15.26953125" bestFit="1" customWidth="1"/>
  </cols>
  <sheetData>
    <row r="3" spans="1:2" x14ac:dyDescent="0.35">
      <c r="A3" s="2" t="s">
        <v>27</v>
      </c>
      <c r="B3" t="s">
        <v>35</v>
      </c>
    </row>
    <row r="4" spans="1:2" x14ac:dyDescent="0.35">
      <c r="A4" s="3" t="s">
        <v>17</v>
      </c>
      <c r="B4" s="4">
        <v>6450.7735849056608</v>
      </c>
    </row>
    <row r="5" spans="1:2" x14ac:dyDescent="0.35">
      <c r="A5" s="3" t="s">
        <v>19</v>
      </c>
      <c r="B5" s="4">
        <v>6127.5535714285716</v>
      </c>
    </row>
    <row r="6" spans="1:2" x14ac:dyDescent="0.35">
      <c r="A6" s="3" t="s">
        <v>10</v>
      </c>
      <c r="B6" s="4">
        <v>5978.2241379310344</v>
      </c>
    </row>
    <row r="7" spans="1:2" x14ac:dyDescent="0.35">
      <c r="A7" s="3" t="s">
        <v>13</v>
      </c>
      <c r="B7" s="4">
        <v>6297.4838709677415</v>
      </c>
    </row>
    <row r="8" spans="1:2" x14ac:dyDescent="0.35">
      <c r="A8" s="3" t="s">
        <v>15</v>
      </c>
      <c r="B8" s="4">
        <v>6092.1016949152545</v>
      </c>
    </row>
    <row r="9" spans="1:2" x14ac:dyDescent="0.35">
      <c r="A9" s="3" t="s">
        <v>16</v>
      </c>
      <c r="B9" s="4">
        <v>6276.4354838709678</v>
      </c>
    </row>
    <row r="10" spans="1:2" x14ac:dyDescent="0.35">
      <c r="A10" s="3" t="s">
        <v>28</v>
      </c>
      <c r="B10" s="4"/>
    </row>
    <row r="11" spans="1:2" x14ac:dyDescent="0.35">
      <c r="A11" s="3" t="s">
        <v>29</v>
      </c>
      <c r="B11" s="4">
        <v>6202.2514285714287</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14:colorSeries rgb="FF376092"/>
          <x14:colorNegative rgb="FFD00000"/>
          <x14:colorAxis rgb="FF000000"/>
          <x14:colorMarkers rgb="FFD00000"/>
          <x14:colorFirst rgb="FFD00000"/>
          <x14:colorLast rgb="FFD00000"/>
          <x14:colorHigh rgb="FFD00000"/>
          <x14:colorLow rgb="FFD00000"/>
          <x14:sparklines>
            <x14:sparkline>
              <xm:f>pivot_avg_salary_department!A4:B4</xm:f>
              <xm:sqref>C4</xm:sqref>
            </x14:sparkline>
            <x14:sparkline>
              <xm:f>pivot_avg_salary_department!A5:B5</xm:f>
              <xm:sqref>C5</xm:sqref>
            </x14:sparkline>
            <x14:sparkline>
              <xm:f>pivot_avg_salary_department!A6:B6</xm:f>
              <xm:sqref>C6</xm:sqref>
            </x14:sparkline>
            <x14:sparkline>
              <xm:f>pivot_avg_salary_department!A7:B7</xm:f>
              <xm:sqref>C7</xm:sqref>
            </x14:sparkline>
            <x14:sparkline>
              <xm:f>pivot_avg_salary_department!A8:B8</xm:f>
              <xm:sqref>C8</xm:sqref>
            </x14:sparkline>
            <x14:sparkline>
              <xm:f>pivot_avg_salary_department!A9:B9</xm:f>
              <xm:sqref>C9</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2"/>
  <sheetViews>
    <sheetView workbookViewId="0">
      <selection activeCell="F1" sqref="A1:XFD1048576"/>
    </sheetView>
  </sheetViews>
  <sheetFormatPr defaultRowHeight="14.5" x14ac:dyDescent="0.35"/>
  <cols>
    <col min="5" max="5" width="16.1796875" customWidth="1"/>
    <col min="6" max="6" width="12.453125" customWidth="1"/>
    <col min="10" max="10" width="11.7265625" customWidth="1"/>
    <col min="11" max="11" width="19.54296875" customWidth="1"/>
    <col min="12" max="12" width="11" customWidth="1"/>
    <col min="13" max="13" width="11.54296875" customWidth="1"/>
    <col min="14" max="14" width="11.08984375" customWidth="1"/>
    <col min="15" max="15" width="18.36328125" customWidth="1"/>
  </cols>
  <sheetData>
    <row r="1" spans="1:15" x14ac:dyDescent="0.35">
      <c r="A1" t="s">
        <v>0</v>
      </c>
      <c r="B1" t="s">
        <v>1</v>
      </c>
      <c r="C1" t="s">
        <v>2</v>
      </c>
      <c r="D1" t="s">
        <v>3</v>
      </c>
      <c r="E1" t="s">
        <v>4</v>
      </c>
      <c r="F1" t="s">
        <v>5</v>
      </c>
      <c r="G1" t="s">
        <v>6</v>
      </c>
      <c r="H1" t="s">
        <v>7</v>
      </c>
      <c r="I1" t="s">
        <v>8</v>
      </c>
      <c r="J1" t="s">
        <v>9</v>
      </c>
      <c r="K1" t="s">
        <v>22</v>
      </c>
      <c r="L1" t="s">
        <v>23</v>
      </c>
      <c r="M1" t="s">
        <v>24</v>
      </c>
      <c r="N1" t="s">
        <v>25</v>
      </c>
      <c r="O1" t="s">
        <v>26</v>
      </c>
    </row>
    <row r="2" spans="1:15" x14ac:dyDescent="0.35">
      <c r="A2">
        <v>1001</v>
      </c>
      <c r="B2" t="s">
        <v>10</v>
      </c>
      <c r="C2" t="s">
        <v>11</v>
      </c>
      <c r="D2">
        <v>53</v>
      </c>
      <c r="E2" t="s">
        <v>12</v>
      </c>
      <c r="F2" s="1">
        <v>44495</v>
      </c>
      <c r="G2">
        <v>3459</v>
      </c>
      <c r="H2">
        <v>3</v>
      </c>
      <c r="I2">
        <v>12</v>
      </c>
      <c r="J2" s="1">
        <v>45363</v>
      </c>
      <c r="K2">
        <f>IF(J2="", "", J2)</f>
        <v>45363</v>
      </c>
      <c r="L2" t="str">
        <f>IF(J2="", "Active", "Exited")</f>
        <v>Exited</v>
      </c>
      <c r="M2">
        <f ca="1">IF(L2="Active", TODAY()-F2, J2-F2)</f>
        <v>868</v>
      </c>
      <c r="N2" t="str">
        <f>IF(D2&lt;30,"Under 30",
IF(D2&lt;40,"30-39",
IF(D2&lt;50,"40-49","50+")))</f>
        <v>50+</v>
      </c>
      <c r="O2" t="str">
        <f>IF(AND(J2&lt;&gt;"", F2&lt;&gt;"", J2&lt;F2), "Invalid Exit Date", "")</f>
        <v/>
      </c>
    </row>
    <row r="3" spans="1:15" x14ac:dyDescent="0.35">
      <c r="A3">
        <v>1002</v>
      </c>
      <c r="B3" t="s">
        <v>13</v>
      </c>
      <c r="C3" t="s">
        <v>14</v>
      </c>
      <c r="D3">
        <v>39</v>
      </c>
      <c r="E3" t="s">
        <v>12</v>
      </c>
      <c r="F3" s="1">
        <v>43246</v>
      </c>
      <c r="G3">
        <v>8671</v>
      </c>
      <c r="H3">
        <v>4</v>
      </c>
      <c r="I3">
        <v>18</v>
      </c>
      <c r="K3" t="str">
        <f t="shared" ref="K3:K66" si="0">IF(J3="", "", J3)</f>
        <v/>
      </c>
      <c r="L3" t="str">
        <f t="shared" ref="L3:L66" si="1">IF(J3="", "Active", "Exited")</f>
        <v>Active</v>
      </c>
      <c r="M3">
        <f t="shared" ref="M3:M66" ca="1" si="2">IF(L3="Active", TODAY()-F3, J3-F3)</f>
        <v>2735</v>
      </c>
      <c r="N3" t="str">
        <f t="shared" ref="N3:N19" si="3">IF(D3&lt;30,"Under 30",
IF(D3&lt;40,"30-39",
IF(D3&lt;50,"40-49","50+")))</f>
        <v>30-39</v>
      </c>
      <c r="O3" t="str">
        <f t="shared" ref="O3:O66" si="4">IF(AND(J3&lt;&gt;"", F3&lt;&gt;"", J3&lt;F3), "Invalid Exit Date", "")</f>
        <v/>
      </c>
    </row>
    <row r="4" spans="1:15" x14ac:dyDescent="0.35">
      <c r="A4">
        <v>1003</v>
      </c>
      <c r="B4" t="s">
        <v>15</v>
      </c>
      <c r="C4" t="s">
        <v>11</v>
      </c>
      <c r="D4">
        <v>27</v>
      </c>
      <c r="E4" t="s">
        <v>12</v>
      </c>
      <c r="F4" s="1">
        <v>44836</v>
      </c>
      <c r="G4">
        <v>7966</v>
      </c>
      <c r="H4">
        <v>2</v>
      </c>
      <c r="I4">
        <v>16</v>
      </c>
      <c r="K4" t="str">
        <f t="shared" si="0"/>
        <v/>
      </c>
      <c r="L4" t="str">
        <f t="shared" si="1"/>
        <v>Active</v>
      </c>
      <c r="M4">
        <f t="shared" ca="1" si="2"/>
        <v>1145</v>
      </c>
      <c r="N4" t="str">
        <f t="shared" si="3"/>
        <v>Under 30</v>
      </c>
      <c r="O4" t="str">
        <f t="shared" si="4"/>
        <v/>
      </c>
    </row>
    <row r="5" spans="1:15" x14ac:dyDescent="0.35">
      <c r="A5">
        <v>1004</v>
      </c>
      <c r="B5" t="s">
        <v>16</v>
      </c>
      <c r="C5" t="s">
        <v>14</v>
      </c>
      <c r="D5">
        <v>39</v>
      </c>
      <c r="E5" t="s">
        <v>12</v>
      </c>
      <c r="F5" s="1">
        <v>43607</v>
      </c>
      <c r="G5">
        <v>4810</v>
      </c>
      <c r="H5">
        <v>1</v>
      </c>
      <c r="I5">
        <v>20</v>
      </c>
      <c r="K5" t="str">
        <f t="shared" si="0"/>
        <v/>
      </c>
      <c r="L5" t="str">
        <f t="shared" si="1"/>
        <v>Active</v>
      </c>
      <c r="M5">
        <f t="shared" ca="1" si="2"/>
        <v>2374</v>
      </c>
      <c r="N5" t="str">
        <f t="shared" si="3"/>
        <v>30-39</v>
      </c>
      <c r="O5" t="str">
        <f t="shared" si="4"/>
        <v/>
      </c>
    </row>
    <row r="6" spans="1:15" x14ac:dyDescent="0.35">
      <c r="A6">
        <v>1005</v>
      </c>
      <c r="B6" t="s">
        <v>16</v>
      </c>
      <c r="C6" t="s">
        <v>14</v>
      </c>
      <c r="D6">
        <v>40</v>
      </c>
      <c r="E6" t="s">
        <v>12</v>
      </c>
      <c r="F6" s="1">
        <v>44399</v>
      </c>
      <c r="G6">
        <v>3198</v>
      </c>
      <c r="H6">
        <v>5</v>
      </c>
      <c r="I6">
        <v>13</v>
      </c>
      <c r="K6" t="str">
        <f t="shared" si="0"/>
        <v/>
      </c>
      <c r="L6" t="str">
        <f t="shared" si="1"/>
        <v>Active</v>
      </c>
      <c r="M6">
        <f t="shared" ca="1" si="2"/>
        <v>1582</v>
      </c>
      <c r="N6" t="str">
        <f t="shared" si="3"/>
        <v>40-49</v>
      </c>
      <c r="O6" t="str">
        <f t="shared" si="4"/>
        <v/>
      </c>
    </row>
    <row r="7" spans="1:15" x14ac:dyDescent="0.35">
      <c r="A7">
        <v>1006</v>
      </c>
      <c r="B7" t="s">
        <v>13</v>
      </c>
      <c r="C7" t="s">
        <v>14</v>
      </c>
      <c r="D7">
        <v>43</v>
      </c>
      <c r="E7" t="s">
        <v>12</v>
      </c>
      <c r="F7" s="1">
        <v>42981</v>
      </c>
      <c r="G7">
        <v>4533</v>
      </c>
      <c r="H7">
        <v>3</v>
      </c>
      <c r="I7">
        <v>11</v>
      </c>
      <c r="K7" t="str">
        <f t="shared" si="0"/>
        <v/>
      </c>
      <c r="L7" t="str">
        <f t="shared" si="1"/>
        <v>Active</v>
      </c>
      <c r="M7">
        <f t="shared" ca="1" si="2"/>
        <v>3000</v>
      </c>
      <c r="N7" t="str">
        <f t="shared" si="3"/>
        <v>40-49</v>
      </c>
      <c r="O7" t="str">
        <f t="shared" si="4"/>
        <v/>
      </c>
    </row>
    <row r="8" spans="1:15" x14ac:dyDescent="0.35">
      <c r="A8">
        <v>1007</v>
      </c>
      <c r="B8" t="s">
        <v>13</v>
      </c>
      <c r="C8" t="s">
        <v>14</v>
      </c>
      <c r="D8">
        <v>58</v>
      </c>
      <c r="E8" t="s">
        <v>12</v>
      </c>
      <c r="F8" s="1">
        <v>44557</v>
      </c>
      <c r="G8">
        <v>8478</v>
      </c>
      <c r="H8">
        <v>1</v>
      </c>
      <c r="I8">
        <v>20</v>
      </c>
      <c r="J8" s="1">
        <v>46275</v>
      </c>
      <c r="K8">
        <f t="shared" si="0"/>
        <v>46275</v>
      </c>
      <c r="L8" t="str">
        <f t="shared" si="1"/>
        <v>Exited</v>
      </c>
      <c r="M8">
        <f t="shared" ca="1" si="2"/>
        <v>1718</v>
      </c>
      <c r="N8" t="str">
        <f t="shared" si="3"/>
        <v>50+</v>
      </c>
      <c r="O8" t="str">
        <f t="shared" si="4"/>
        <v/>
      </c>
    </row>
    <row r="9" spans="1:15" x14ac:dyDescent="0.35">
      <c r="A9">
        <v>1008</v>
      </c>
      <c r="B9" t="s">
        <v>16</v>
      </c>
      <c r="C9" t="s">
        <v>11</v>
      </c>
      <c r="D9">
        <v>53</v>
      </c>
      <c r="E9" t="s">
        <v>12</v>
      </c>
      <c r="F9" s="1">
        <v>44699</v>
      </c>
      <c r="G9">
        <v>4925</v>
      </c>
      <c r="H9">
        <v>5</v>
      </c>
      <c r="I9">
        <v>11</v>
      </c>
      <c r="K9" t="str">
        <f t="shared" si="0"/>
        <v/>
      </c>
      <c r="L9" t="str">
        <f t="shared" si="1"/>
        <v>Active</v>
      </c>
      <c r="M9">
        <f t="shared" ca="1" si="2"/>
        <v>1282</v>
      </c>
      <c r="N9" t="str">
        <f t="shared" si="3"/>
        <v>50+</v>
      </c>
      <c r="O9" t="str">
        <f t="shared" si="4"/>
        <v/>
      </c>
    </row>
    <row r="10" spans="1:15" x14ac:dyDescent="0.35">
      <c r="A10">
        <v>1009</v>
      </c>
      <c r="B10" t="s">
        <v>16</v>
      </c>
      <c r="C10" t="s">
        <v>11</v>
      </c>
      <c r="D10">
        <v>24</v>
      </c>
      <c r="E10" t="s">
        <v>12</v>
      </c>
      <c r="F10" s="1">
        <v>43477</v>
      </c>
      <c r="G10">
        <v>4971</v>
      </c>
      <c r="H10">
        <v>5</v>
      </c>
      <c r="I10">
        <v>10</v>
      </c>
      <c r="K10" t="str">
        <f t="shared" si="0"/>
        <v/>
      </c>
      <c r="L10" t="str">
        <f t="shared" si="1"/>
        <v>Active</v>
      </c>
      <c r="M10">
        <f t="shared" ca="1" si="2"/>
        <v>2504</v>
      </c>
      <c r="N10" t="str">
        <f t="shared" si="3"/>
        <v>Under 30</v>
      </c>
      <c r="O10" t="str">
        <f t="shared" si="4"/>
        <v/>
      </c>
    </row>
    <row r="11" spans="1:15" x14ac:dyDescent="0.35">
      <c r="A11">
        <v>1010</v>
      </c>
      <c r="B11" t="s">
        <v>10</v>
      </c>
      <c r="C11" t="s">
        <v>14</v>
      </c>
      <c r="D11">
        <v>49</v>
      </c>
      <c r="E11" t="s">
        <v>12</v>
      </c>
      <c r="F11" s="1">
        <v>43374</v>
      </c>
      <c r="G11">
        <v>2874</v>
      </c>
      <c r="H11">
        <v>4</v>
      </c>
      <c r="I11">
        <v>6</v>
      </c>
      <c r="K11" t="str">
        <f t="shared" si="0"/>
        <v/>
      </c>
      <c r="L11" t="str">
        <f t="shared" si="1"/>
        <v>Active</v>
      </c>
      <c r="M11">
        <f t="shared" ca="1" si="2"/>
        <v>2607</v>
      </c>
      <c r="N11" t="str">
        <f t="shared" si="3"/>
        <v>40-49</v>
      </c>
      <c r="O11" t="str">
        <f t="shared" si="4"/>
        <v/>
      </c>
    </row>
    <row r="12" spans="1:15" x14ac:dyDescent="0.35">
      <c r="A12">
        <v>1011</v>
      </c>
      <c r="B12" t="s">
        <v>17</v>
      </c>
      <c r="C12" t="s">
        <v>14</v>
      </c>
      <c r="D12">
        <v>31</v>
      </c>
      <c r="E12" t="s">
        <v>18</v>
      </c>
      <c r="F12" s="1">
        <v>44856</v>
      </c>
      <c r="G12">
        <v>9080</v>
      </c>
      <c r="H12">
        <v>4</v>
      </c>
      <c r="I12">
        <v>3</v>
      </c>
      <c r="K12" t="str">
        <f t="shared" si="0"/>
        <v/>
      </c>
      <c r="L12" t="str">
        <f t="shared" si="1"/>
        <v>Active</v>
      </c>
      <c r="M12">
        <f t="shared" ca="1" si="2"/>
        <v>1125</v>
      </c>
      <c r="N12" t="str">
        <f t="shared" si="3"/>
        <v>30-39</v>
      </c>
      <c r="O12" t="str">
        <f t="shared" si="4"/>
        <v/>
      </c>
    </row>
    <row r="13" spans="1:15" x14ac:dyDescent="0.35">
      <c r="A13">
        <v>1012</v>
      </c>
      <c r="B13" t="s">
        <v>15</v>
      </c>
      <c r="C13" t="s">
        <v>14</v>
      </c>
      <c r="D13">
        <v>56</v>
      </c>
      <c r="E13" t="s">
        <v>12</v>
      </c>
      <c r="F13" s="1">
        <v>44573</v>
      </c>
      <c r="G13">
        <v>7497</v>
      </c>
      <c r="H13">
        <v>4</v>
      </c>
      <c r="I13">
        <v>18</v>
      </c>
      <c r="J13" s="1">
        <v>45002</v>
      </c>
      <c r="K13">
        <f t="shared" si="0"/>
        <v>45002</v>
      </c>
      <c r="L13" t="str">
        <f t="shared" si="1"/>
        <v>Exited</v>
      </c>
      <c r="M13">
        <f t="shared" ca="1" si="2"/>
        <v>429</v>
      </c>
      <c r="N13" t="str">
        <f t="shared" si="3"/>
        <v>50+</v>
      </c>
      <c r="O13" t="str">
        <f t="shared" si="4"/>
        <v/>
      </c>
    </row>
    <row r="14" spans="1:15" x14ac:dyDescent="0.35">
      <c r="A14">
        <v>1013</v>
      </c>
      <c r="B14" t="s">
        <v>19</v>
      </c>
      <c r="C14" t="s">
        <v>14</v>
      </c>
      <c r="D14">
        <v>50</v>
      </c>
      <c r="E14" t="s">
        <v>12</v>
      </c>
      <c r="F14" s="1">
        <v>42771</v>
      </c>
      <c r="G14">
        <v>6271</v>
      </c>
      <c r="H14">
        <v>1</v>
      </c>
      <c r="I14">
        <v>0</v>
      </c>
      <c r="K14" t="str">
        <f t="shared" si="0"/>
        <v/>
      </c>
      <c r="L14" t="str">
        <f t="shared" si="1"/>
        <v>Active</v>
      </c>
      <c r="M14">
        <f t="shared" ca="1" si="2"/>
        <v>3210</v>
      </c>
      <c r="N14" t="str">
        <f t="shared" si="3"/>
        <v>50+</v>
      </c>
      <c r="O14" t="str">
        <f t="shared" si="4"/>
        <v/>
      </c>
    </row>
    <row r="15" spans="1:15" x14ac:dyDescent="0.35">
      <c r="A15">
        <v>1014</v>
      </c>
      <c r="B15" t="s">
        <v>17</v>
      </c>
      <c r="C15" t="s">
        <v>20</v>
      </c>
      <c r="D15">
        <v>36</v>
      </c>
      <c r="E15" t="s">
        <v>12</v>
      </c>
      <c r="F15" s="1">
        <v>44009</v>
      </c>
      <c r="G15">
        <v>3636</v>
      </c>
      <c r="H15">
        <v>1</v>
      </c>
      <c r="I15">
        <v>2</v>
      </c>
      <c r="K15" t="str">
        <f t="shared" si="0"/>
        <v/>
      </c>
      <c r="L15" t="str">
        <f t="shared" si="1"/>
        <v>Active</v>
      </c>
      <c r="M15">
        <f t="shared" ca="1" si="2"/>
        <v>1972</v>
      </c>
      <c r="N15" t="str">
        <f t="shared" si="3"/>
        <v>30-39</v>
      </c>
      <c r="O15" t="str">
        <f t="shared" si="4"/>
        <v/>
      </c>
    </row>
    <row r="16" spans="1:15" x14ac:dyDescent="0.35">
      <c r="A16">
        <v>1015</v>
      </c>
      <c r="B16" t="s">
        <v>13</v>
      </c>
      <c r="C16" t="s">
        <v>14</v>
      </c>
      <c r="D16">
        <v>54</v>
      </c>
      <c r="E16" t="s">
        <v>12</v>
      </c>
      <c r="F16" s="1">
        <v>43733</v>
      </c>
      <c r="G16">
        <v>8424</v>
      </c>
      <c r="H16">
        <v>3</v>
      </c>
      <c r="I16">
        <v>12</v>
      </c>
      <c r="K16" t="str">
        <f t="shared" si="0"/>
        <v/>
      </c>
      <c r="L16" t="str">
        <f t="shared" si="1"/>
        <v>Active</v>
      </c>
      <c r="M16">
        <f t="shared" ca="1" si="2"/>
        <v>2248</v>
      </c>
      <c r="N16" t="str">
        <f t="shared" si="3"/>
        <v>50+</v>
      </c>
      <c r="O16" t="str">
        <f t="shared" si="4"/>
        <v/>
      </c>
    </row>
    <row r="17" spans="1:15" x14ac:dyDescent="0.35">
      <c r="A17">
        <v>1016</v>
      </c>
      <c r="B17" t="s">
        <v>16</v>
      </c>
      <c r="C17" t="s">
        <v>14</v>
      </c>
      <c r="D17">
        <v>28</v>
      </c>
      <c r="E17" t="s">
        <v>18</v>
      </c>
      <c r="F17" s="1">
        <v>42599</v>
      </c>
      <c r="G17">
        <v>3299</v>
      </c>
      <c r="H17">
        <v>4</v>
      </c>
      <c r="I17">
        <v>14</v>
      </c>
      <c r="K17" t="str">
        <f t="shared" si="0"/>
        <v/>
      </c>
      <c r="L17" t="str">
        <f t="shared" si="1"/>
        <v>Active</v>
      </c>
      <c r="M17">
        <f t="shared" ca="1" si="2"/>
        <v>3382</v>
      </c>
      <c r="N17" t="str">
        <f t="shared" si="3"/>
        <v>Under 30</v>
      </c>
      <c r="O17" t="str">
        <f t="shared" si="4"/>
        <v/>
      </c>
    </row>
    <row r="18" spans="1:15" x14ac:dyDescent="0.35">
      <c r="A18">
        <v>1017</v>
      </c>
      <c r="B18" t="s">
        <v>17</v>
      </c>
      <c r="C18" t="s">
        <v>14</v>
      </c>
      <c r="D18">
        <v>33</v>
      </c>
      <c r="E18" t="s">
        <v>12</v>
      </c>
      <c r="F18" s="1">
        <v>44697</v>
      </c>
      <c r="G18">
        <v>8492</v>
      </c>
      <c r="H18">
        <v>5</v>
      </c>
      <c r="I18">
        <v>1</v>
      </c>
      <c r="K18" t="str">
        <f t="shared" si="0"/>
        <v/>
      </c>
      <c r="L18" t="str">
        <f t="shared" si="1"/>
        <v>Active</v>
      </c>
      <c r="M18">
        <f t="shared" ca="1" si="2"/>
        <v>1284</v>
      </c>
      <c r="N18" t="str">
        <f t="shared" si="3"/>
        <v>30-39</v>
      </c>
      <c r="O18" t="str">
        <f t="shared" si="4"/>
        <v/>
      </c>
    </row>
    <row r="19" spans="1:15" x14ac:dyDescent="0.35">
      <c r="A19">
        <v>1018</v>
      </c>
      <c r="B19" t="s">
        <v>15</v>
      </c>
      <c r="C19" t="s">
        <v>11</v>
      </c>
      <c r="D19">
        <v>51</v>
      </c>
      <c r="E19" t="s">
        <v>21</v>
      </c>
      <c r="F19" s="1">
        <v>43845</v>
      </c>
      <c r="G19">
        <v>2937</v>
      </c>
      <c r="H19">
        <v>2</v>
      </c>
      <c r="I19">
        <v>10</v>
      </c>
      <c r="K19" t="str">
        <f t="shared" si="0"/>
        <v/>
      </c>
      <c r="L19" t="str">
        <f t="shared" si="1"/>
        <v>Active</v>
      </c>
      <c r="M19">
        <f t="shared" ca="1" si="2"/>
        <v>2136</v>
      </c>
      <c r="N19" t="str">
        <f t="shared" si="3"/>
        <v>50+</v>
      </c>
      <c r="O19" t="str">
        <f t="shared" si="4"/>
        <v/>
      </c>
    </row>
    <row r="20" spans="1:15" x14ac:dyDescent="0.35">
      <c r="A20">
        <v>1019</v>
      </c>
      <c r="B20" t="s">
        <v>13</v>
      </c>
      <c r="C20" t="s">
        <v>20</v>
      </c>
      <c r="D20">
        <v>42</v>
      </c>
      <c r="E20" t="s">
        <v>12</v>
      </c>
      <c r="F20" s="1">
        <v>42574</v>
      </c>
      <c r="G20">
        <v>4897</v>
      </c>
      <c r="H20">
        <v>3</v>
      </c>
      <c r="I20">
        <v>3</v>
      </c>
      <c r="J20" s="1">
        <v>42793</v>
      </c>
      <c r="K20">
        <f t="shared" si="0"/>
        <v>42793</v>
      </c>
      <c r="L20" t="str">
        <f t="shared" si="1"/>
        <v>Exited</v>
      </c>
      <c r="M20">
        <f t="shared" ca="1" si="2"/>
        <v>219</v>
      </c>
      <c r="N20" t="str">
        <f t="shared" ref="N20:N66" si="5">IF(D20&lt;30,"Under 30",
IF(D20&lt;40,"30-39",
IF(D20&lt;50,"40-49","50+")))</f>
        <v>40-49</v>
      </c>
      <c r="O20" t="str">
        <f t="shared" si="4"/>
        <v/>
      </c>
    </row>
    <row r="21" spans="1:15" x14ac:dyDescent="0.35">
      <c r="A21">
        <v>1020</v>
      </c>
      <c r="B21" t="s">
        <v>19</v>
      </c>
      <c r="C21" t="s">
        <v>11</v>
      </c>
      <c r="D21">
        <v>52</v>
      </c>
      <c r="E21" t="s">
        <v>12</v>
      </c>
      <c r="F21" s="1">
        <v>43600</v>
      </c>
      <c r="G21">
        <v>8690</v>
      </c>
      <c r="H21">
        <v>1</v>
      </c>
      <c r="I21">
        <v>18</v>
      </c>
      <c r="K21" t="str">
        <f t="shared" si="0"/>
        <v/>
      </c>
      <c r="L21" t="str">
        <f t="shared" si="1"/>
        <v>Active</v>
      </c>
      <c r="M21">
        <f t="shared" ca="1" si="2"/>
        <v>2381</v>
      </c>
      <c r="N21" t="str">
        <f t="shared" si="5"/>
        <v>50+</v>
      </c>
      <c r="O21" t="str">
        <f t="shared" si="4"/>
        <v/>
      </c>
    </row>
    <row r="22" spans="1:15" x14ac:dyDescent="0.35">
      <c r="A22">
        <v>1021</v>
      </c>
      <c r="B22" t="s">
        <v>19</v>
      </c>
      <c r="C22" t="s">
        <v>11</v>
      </c>
      <c r="D22">
        <v>45</v>
      </c>
      <c r="E22" t="s">
        <v>12</v>
      </c>
      <c r="F22" s="1">
        <v>42160</v>
      </c>
      <c r="G22">
        <v>7868</v>
      </c>
      <c r="H22">
        <v>3</v>
      </c>
      <c r="I22">
        <v>16</v>
      </c>
      <c r="K22" t="str">
        <f t="shared" si="0"/>
        <v/>
      </c>
      <c r="L22" t="str">
        <f t="shared" si="1"/>
        <v>Active</v>
      </c>
      <c r="M22">
        <f t="shared" ca="1" si="2"/>
        <v>3821</v>
      </c>
      <c r="N22" t="str">
        <f t="shared" si="5"/>
        <v>40-49</v>
      </c>
      <c r="O22" t="str">
        <f t="shared" si="4"/>
        <v/>
      </c>
    </row>
    <row r="23" spans="1:15" x14ac:dyDescent="0.35">
      <c r="A23">
        <v>1022</v>
      </c>
      <c r="B23" t="s">
        <v>15</v>
      </c>
      <c r="C23" t="s">
        <v>11</v>
      </c>
      <c r="D23">
        <v>41</v>
      </c>
      <c r="E23" t="s">
        <v>21</v>
      </c>
      <c r="F23" s="1">
        <v>44033</v>
      </c>
      <c r="G23">
        <v>8538</v>
      </c>
      <c r="H23">
        <v>3</v>
      </c>
      <c r="I23">
        <v>2</v>
      </c>
      <c r="K23" t="str">
        <f t="shared" si="0"/>
        <v/>
      </c>
      <c r="L23" t="str">
        <f t="shared" si="1"/>
        <v>Active</v>
      </c>
      <c r="M23">
        <f t="shared" ca="1" si="2"/>
        <v>1948</v>
      </c>
      <c r="N23" t="str">
        <f t="shared" si="5"/>
        <v>40-49</v>
      </c>
      <c r="O23" t="str">
        <f t="shared" si="4"/>
        <v/>
      </c>
    </row>
    <row r="24" spans="1:15" x14ac:dyDescent="0.35">
      <c r="A24">
        <v>1023</v>
      </c>
      <c r="B24" t="s">
        <v>15</v>
      </c>
      <c r="C24" t="s">
        <v>14</v>
      </c>
      <c r="D24">
        <v>58</v>
      </c>
      <c r="E24" t="s">
        <v>12</v>
      </c>
      <c r="F24" s="1">
        <v>44999</v>
      </c>
      <c r="G24">
        <v>6496</v>
      </c>
      <c r="H24">
        <v>3</v>
      </c>
      <c r="I24">
        <v>17</v>
      </c>
      <c r="K24" t="str">
        <f t="shared" si="0"/>
        <v/>
      </c>
      <c r="L24" t="str">
        <f t="shared" si="1"/>
        <v>Active</v>
      </c>
      <c r="M24">
        <f t="shared" ca="1" si="2"/>
        <v>982</v>
      </c>
      <c r="N24" t="str">
        <f t="shared" si="5"/>
        <v>50+</v>
      </c>
      <c r="O24" t="str">
        <f t="shared" si="4"/>
        <v/>
      </c>
    </row>
    <row r="25" spans="1:15" x14ac:dyDescent="0.35">
      <c r="A25">
        <v>1024</v>
      </c>
      <c r="B25" t="s">
        <v>16</v>
      </c>
      <c r="C25" t="s">
        <v>11</v>
      </c>
      <c r="D25">
        <v>25</v>
      </c>
      <c r="E25" t="s">
        <v>12</v>
      </c>
      <c r="F25" s="1">
        <v>42340</v>
      </c>
      <c r="G25">
        <v>4685</v>
      </c>
      <c r="H25">
        <v>3</v>
      </c>
      <c r="I25">
        <v>7</v>
      </c>
      <c r="K25" t="str">
        <f t="shared" si="0"/>
        <v/>
      </c>
      <c r="L25" t="str">
        <f t="shared" si="1"/>
        <v>Active</v>
      </c>
      <c r="M25">
        <f t="shared" ca="1" si="2"/>
        <v>3641</v>
      </c>
      <c r="N25" t="str">
        <f t="shared" si="5"/>
        <v>Under 30</v>
      </c>
      <c r="O25" t="str">
        <f t="shared" si="4"/>
        <v/>
      </c>
    </row>
    <row r="26" spans="1:15" x14ac:dyDescent="0.35">
      <c r="A26">
        <v>1025</v>
      </c>
      <c r="B26" t="s">
        <v>19</v>
      </c>
      <c r="C26" t="s">
        <v>11</v>
      </c>
      <c r="D26">
        <v>49</v>
      </c>
      <c r="E26" t="s">
        <v>18</v>
      </c>
      <c r="F26" s="1">
        <v>43019</v>
      </c>
      <c r="G26">
        <v>9197</v>
      </c>
      <c r="H26">
        <v>2</v>
      </c>
      <c r="I26">
        <v>18</v>
      </c>
      <c r="J26" s="1">
        <v>43771</v>
      </c>
      <c r="K26">
        <f t="shared" si="0"/>
        <v>43771</v>
      </c>
      <c r="L26" t="str">
        <f t="shared" si="1"/>
        <v>Exited</v>
      </c>
      <c r="M26">
        <f t="shared" ca="1" si="2"/>
        <v>752</v>
      </c>
      <c r="N26" t="str">
        <f t="shared" si="5"/>
        <v>40-49</v>
      </c>
      <c r="O26" t="str">
        <f t="shared" si="4"/>
        <v/>
      </c>
    </row>
    <row r="27" spans="1:15" x14ac:dyDescent="0.35">
      <c r="A27">
        <v>1026</v>
      </c>
      <c r="B27" t="s">
        <v>13</v>
      </c>
      <c r="C27" t="s">
        <v>11</v>
      </c>
      <c r="D27">
        <v>41</v>
      </c>
      <c r="E27" t="s">
        <v>12</v>
      </c>
      <c r="F27" s="1">
        <v>44274</v>
      </c>
      <c r="G27">
        <v>8924</v>
      </c>
      <c r="H27">
        <v>4</v>
      </c>
      <c r="I27">
        <v>4</v>
      </c>
      <c r="K27" t="str">
        <f t="shared" si="0"/>
        <v/>
      </c>
      <c r="L27" t="str">
        <f t="shared" si="1"/>
        <v>Active</v>
      </c>
      <c r="M27">
        <f t="shared" ca="1" si="2"/>
        <v>1707</v>
      </c>
      <c r="N27" t="str">
        <f t="shared" si="5"/>
        <v>40-49</v>
      </c>
      <c r="O27" t="str">
        <f t="shared" si="4"/>
        <v/>
      </c>
    </row>
    <row r="28" spans="1:15" x14ac:dyDescent="0.35">
      <c r="A28">
        <v>1027</v>
      </c>
      <c r="B28" t="s">
        <v>17</v>
      </c>
      <c r="C28" t="s">
        <v>11</v>
      </c>
      <c r="D28">
        <v>45</v>
      </c>
      <c r="E28" t="s">
        <v>12</v>
      </c>
      <c r="F28" s="1">
        <v>43227</v>
      </c>
      <c r="G28">
        <v>5557</v>
      </c>
      <c r="H28">
        <v>5</v>
      </c>
      <c r="I28">
        <v>6</v>
      </c>
      <c r="K28" t="str">
        <f t="shared" si="0"/>
        <v/>
      </c>
      <c r="L28" t="str">
        <f t="shared" si="1"/>
        <v>Active</v>
      </c>
      <c r="M28">
        <f t="shared" ca="1" si="2"/>
        <v>2754</v>
      </c>
      <c r="N28" t="str">
        <f t="shared" si="5"/>
        <v>40-49</v>
      </c>
      <c r="O28" t="str">
        <f t="shared" si="4"/>
        <v/>
      </c>
    </row>
    <row r="29" spans="1:15" x14ac:dyDescent="0.35">
      <c r="A29">
        <v>1028</v>
      </c>
      <c r="B29" t="s">
        <v>13</v>
      </c>
      <c r="C29" t="s">
        <v>11</v>
      </c>
      <c r="D29">
        <v>53</v>
      </c>
      <c r="E29" t="s">
        <v>12</v>
      </c>
      <c r="F29" s="1">
        <v>45083</v>
      </c>
      <c r="G29">
        <v>6720</v>
      </c>
      <c r="H29">
        <v>3</v>
      </c>
      <c r="I29">
        <v>20</v>
      </c>
      <c r="K29" t="str">
        <f t="shared" si="0"/>
        <v/>
      </c>
      <c r="L29" t="str">
        <f t="shared" si="1"/>
        <v>Active</v>
      </c>
      <c r="M29">
        <f t="shared" ca="1" si="2"/>
        <v>898</v>
      </c>
      <c r="N29" t="str">
        <f t="shared" si="5"/>
        <v>50+</v>
      </c>
      <c r="O29" t="str">
        <f t="shared" si="4"/>
        <v/>
      </c>
    </row>
    <row r="30" spans="1:15" x14ac:dyDescent="0.35">
      <c r="A30">
        <v>1029</v>
      </c>
      <c r="B30" t="s">
        <v>10</v>
      </c>
      <c r="C30" t="s">
        <v>11</v>
      </c>
      <c r="D30">
        <v>57</v>
      </c>
      <c r="E30" t="s">
        <v>18</v>
      </c>
      <c r="F30" s="1">
        <v>43006</v>
      </c>
      <c r="G30">
        <v>4700</v>
      </c>
      <c r="H30">
        <v>3</v>
      </c>
      <c r="I30">
        <v>7</v>
      </c>
      <c r="K30" t="str">
        <f t="shared" si="0"/>
        <v/>
      </c>
      <c r="L30" t="str">
        <f t="shared" si="1"/>
        <v>Active</v>
      </c>
      <c r="M30">
        <f t="shared" ca="1" si="2"/>
        <v>2975</v>
      </c>
      <c r="N30" t="str">
        <f t="shared" si="5"/>
        <v>50+</v>
      </c>
      <c r="O30" t="str">
        <f t="shared" si="4"/>
        <v/>
      </c>
    </row>
    <row r="31" spans="1:15" x14ac:dyDescent="0.35">
      <c r="A31">
        <v>1030</v>
      </c>
      <c r="B31" t="s">
        <v>10</v>
      </c>
      <c r="C31" t="s">
        <v>20</v>
      </c>
      <c r="D31">
        <v>55</v>
      </c>
      <c r="E31" t="s">
        <v>12</v>
      </c>
      <c r="F31" s="1">
        <v>43801</v>
      </c>
      <c r="G31">
        <v>5410</v>
      </c>
      <c r="H31">
        <v>3</v>
      </c>
      <c r="I31">
        <v>4</v>
      </c>
      <c r="K31" t="str">
        <f t="shared" si="0"/>
        <v/>
      </c>
      <c r="L31" t="str">
        <f t="shared" si="1"/>
        <v>Active</v>
      </c>
      <c r="M31">
        <f t="shared" ca="1" si="2"/>
        <v>2180</v>
      </c>
      <c r="N31" t="str">
        <f t="shared" si="5"/>
        <v>50+</v>
      </c>
      <c r="O31" t="str">
        <f t="shared" si="4"/>
        <v/>
      </c>
    </row>
    <row r="32" spans="1:15" x14ac:dyDescent="0.35">
      <c r="A32">
        <v>1031</v>
      </c>
      <c r="B32" t="s">
        <v>15</v>
      </c>
      <c r="C32" t="s">
        <v>11</v>
      </c>
      <c r="D32">
        <v>57</v>
      </c>
      <c r="E32" t="s">
        <v>12</v>
      </c>
      <c r="F32" s="1">
        <v>42861</v>
      </c>
      <c r="G32">
        <v>6786</v>
      </c>
      <c r="H32">
        <v>4</v>
      </c>
      <c r="I32">
        <v>16</v>
      </c>
      <c r="K32" t="str">
        <f t="shared" si="0"/>
        <v/>
      </c>
      <c r="L32" t="str">
        <f t="shared" si="1"/>
        <v>Active</v>
      </c>
      <c r="M32">
        <f t="shared" ca="1" si="2"/>
        <v>3120</v>
      </c>
      <c r="N32" t="str">
        <f t="shared" si="5"/>
        <v>50+</v>
      </c>
      <c r="O32" t="str">
        <f t="shared" si="4"/>
        <v/>
      </c>
    </row>
    <row r="33" spans="1:15" x14ac:dyDescent="0.35">
      <c r="A33">
        <v>1032</v>
      </c>
      <c r="B33" t="s">
        <v>16</v>
      </c>
      <c r="C33" t="s">
        <v>11</v>
      </c>
      <c r="D33">
        <v>23</v>
      </c>
      <c r="E33" t="s">
        <v>21</v>
      </c>
      <c r="F33" s="1">
        <v>44214</v>
      </c>
      <c r="G33">
        <v>4249</v>
      </c>
      <c r="H33">
        <v>1</v>
      </c>
      <c r="I33">
        <v>4</v>
      </c>
      <c r="J33" s="1">
        <v>45363</v>
      </c>
      <c r="K33">
        <f t="shared" si="0"/>
        <v>45363</v>
      </c>
      <c r="L33" t="str">
        <f t="shared" si="1"/>
        <v>Exited</v>
      </c>
      <c r="M33">
        <f t="shared" ca="1" si="2"/>
        <v>1149</v>
      </c>
      <c r="N33" t="str">
        <f t="shared" si="5"/>
        <v>Under 30</v>
      </c>
      <c r="O33" t="str">
        <f t="shared" si="4"/>
        <v/>
      </c>
    </row>
    <row r="34" spans="1:15" x14ac:dyDescent="0.35">
      <c r="A34">
        <v>1033</v>
      </c>
      <c r="B34" t="s">
        <v>10</v>
      </c>
      <c r="C34" t="s">
        <v>11</v>
      </c>
      <c r="D34">
        <v>36</v>
      </c>
      <c r="E34" t="s">
        <v>12</v>
      </c>
      <c r="F34" s="1">
        <v>43557</v>
      </c>
      <c r="G34">
        <v>3346</v>
      </c>
      <c r="H34">
        <v>1</v>
      </c>
      <c r="I34">
        <v>3</v>
      </c>
      <c r="K34" t="str">
        <f t="shared" si="0"/>
        <v/>
      </c>
      <c r="L34" t="str">
        <f t="shared" si="1"/>
        <v>Active</v>
      </c>
      <c r="M34">
        <f t="shared" ca="1" si="2"/>
        <v>2424</v>
      </c>
      <c r="N34" t="str">
        <f t="shared" si="5"/>
        <v>30-39</v>
      </c>
      <c r="O34" t="str">
        <f t="shared" si="4"/>
        <v/>
      </c>
    </row>
    <row r="35" spans="1:15" x14ac:dyDescent="0.35">
      <c r="A35">
        <v>1034</v>
      </c>
      <c r="B35" t="s">
        <v>19</v>
      </c>
      <c r="C35" t="s">
        <v>14</v>
      </c>
      <c r="D35">
        <v>55</v>
      </c>
      <c r="E35" t="s">
        <v>12</v>
      </c>
      <c r="F35" s="1">
        <v>45064</v>
      </c>
      <c r="G35">
        <v>7817</v>
      </c>
      <c r="H35">
        <v>2</v>
      </c>
      <c r="I35">
        <v>18</v>
      </c>
      <c r="K35" t="str">
        <f t="shared" si="0"/>
        <v/>
      </c>
      <c r="L35" t="str">
        <f t="shared" si="1"/>
        <v>Active</v>
      </c>
      <c r="M35">
        <f t="shared" ca="1" si="2"/>
        <v>917</v>
      </c>
      <c r="N35" t="str">
        <f t="shared" si="5"/>
        <v>50+</v>
      </c>
      <c r="O35" t="str">
        <f t="shared" si="4"/>
        <v/>
      </c>
    </row>
    <row r="36" spans="1:15" x14ac:dyDescent="0.35">
      <c r="A36">
        <v>1035</v>
      </c>
      <c r="B36" t="s">
        <v>13</v>
      </c>
      <c r="C36" t="s">
        <v>11</v>
      </c>
      <c r="D36">
        <v>57</v>
      </c>
      <c r="E36" t="s">
        <v>12</v>
      </c>
      <c r="F36" s="1">
        <v>44545</v>
      </c>
      <c r="G36">
        <v>7476</v>
      </c>
      <c r="H36">
        <v>1</v>
      </c>
      <c r="I36">
        <v>20</v>
      </c>
      <c r="J36" s="1">
        <v>44892</v>
      </c>
      <c r="K36">
        <f t="shared" si="0"/>
        <v>44892</v>
      </c>
      <c r="L36" t="str">
        <f t="shared" si="1"/>
        <v>Exited</v>
      </c>
      <c r="M36">
        <f t="shared" ca="1" si="2"/>
        <v>347</v>
      </c>
      <c r="N36" t="str">
        <f t="shared" si="5"/>
        <v>50+</v>
      </c>
      <c r="O36" t="str">
        <f t="shared" si="4"/>
        <v/>
      </c>
    </row>
    <row r="37" spans="1:15" x14ac:dyDescent="0.35">
      <c r="A37">
        <v>1036</v>
      </c>
      <c r="B37" t="s">
        <v>13</v>
      </c>
      <c r="C37" t="s">
        <v>14</v>
      </c>
      <c r="D37">
        <v>27</v>
      </c>
      <c r="E37" t="s">
        <v>12</v>
      </c>
      <c r="F37" s="1">
        <v>42670</v>
      </c>
      <c r="G37">
        <v>8268</v>
      </c>
      <c r="H37">
        <v>3</v>
      </c>
      <c r="I37">
        <v>1</v>
      </c>
      <c r="J37" s="1">
        <v>44001</v>
      </c>
      <c r="K37">
        <f t="shared" si="0"/>
        <v>44001</v>
      </c>
      <c r="L37" t="str">
        <f t="shared" si="1"/>
        <v>Exited</v>
      </c>
      <c r="M37">
        <f t="shared" ca="1" si="2"/>
        <v>1331</v>
      </c>
      <c r="N37" t="str">
        <f t="shared" si="5"/>
        <v>Under 30</v>
      </c>
      <c r="O37" t="str">
        <f t="shared" si="4"/>
        <v/>
      </c>
    </row>
    <row r="38" spans="1:15" x14ac:dyDescent="0.35">
      <c r="A38">
        <v>1037</v>
      </c>
      <c r="B38" t="s">
        <v>15</v>
      </c>
      <c r="C38" t="s">
        <v>11</v>
      </c>
      <c r="D38">
        <v>60</v>
      </c>
      <c r="E38" t="s">
        <v>21</v>
      </c>
      <c r="F38" s="1">
        <v>43392</v>
      </c>
      <c r="G38">
        <v>8852</v>
      </c>
      <c r="H38">
        <v>3</v>
      </c>
      <c r="I38">
        <v>10</v>
      </c>
      <c r="K38" t="str">
        <f t="shared" si="0"/>
        <v/>
      </c>
      <c r="L38" t="str">
        <f t="shared" si="1"/>
        <v>Active</v>
      </c>
      <c r="M38">
        <f t="shared" ca="1" si="2"/>
        <v>2589</v>
      </c>
      <c r="N38" t="str">
        <f t="shared" si="5"/>
        <v>50+</v>
      </c>
      <c r="O38" t="str">
        <f t="shared" si="4"/>
        <v/>
      </c>
    </row>
    <row r="39" spans="1:15" x14ac:dyDescent="0.35">
      <c r="A39">
        <v>1038</v>
      </c>
      <c r="B39" t="s">
        <v>17</v>
      </c>
      <c r="C39" t="s">
        <v>20</v>
      </c>
      <c r="D39">
        <v>33</v>
      </c>
      <c r="E39" t="s">
        <v>21</v>
      </c>
      <c r="F39" s="1">
        <v>45048</v>
      </c>
      <c r="G39">
        <v>4803</v>
      </c>
      <c r="H39">
        <v>3</v>
      </c>
      <c r="I39">
        <v>12</v>
      </c>
      <c r="K39" t="str">
        <f t="shared" si="0"/>
        <v/>
      </c>
      <c r="L39" t="str">
        <f t="shared" si="1"/>
        <v>Active</v>
      </c>
      <c r="M39">
        <f t="shared" ca="1" si="2"/>
        <v>933</v>
      </c>
      <c r="N39" t="str">
        <f t="shared" si="5"/>
        <v>30-39</v>
      </c>
      <c r="O39" t="str">
        <f t="shared" si="4"/>
        <v/>
      </c>
    </row>
    <row r="40" spans="1:15" x14ac:dyDescent="0.35">
      <c r="A40">
        <v>1039</v>
      </c>
      <c r="B40" t="s">
        <v>15</v>
      </c>
      <c r="C40" t="s">
        <v>11</v>
      </c>
      <c r="D40">
        <v>24</v>
      </c>
      <c r="E40" t="s">
        <v>12</v>
      </c>
      <c r="F40" s="1">
        <v>42571</v>
      </c>
      <c r="G40">
        <v>4896</v>
      </c>
      <c r="H40">
        <v>2</v>
      </c>
      <c r="I40">
        <v>14</v>
      </c>
      <c r="K40" t="str">
        <f t="shared" si="0"/>
        <v/>
      </c>
      <c r="L40" t="str">
        <f t="shared" si="1"/>
        <v>Active</v>
      </c>
      <c r="M40">
        <f t="shared" ca="1" si="2"/>
        <v>3410</v>
      </c>
      <c r="N40" t="str">
        <f t="shared" si="5"/>
        <v>Under 30</v>
      </c>
      <c r="O40" t="str">
        <f t="shared" si="4"/>
        <v/>
      </c>
    </row>
    <row r="41" spans="1:15" x14ac:dyDescent="0.35">
      <c r="A41">
        <v>1040</v>
      </c>
      <c r="B41" t="s">
        <v>17</v>
      </c>
      <c r="C41" t="s">
        <v>14</v>
      </c>
      <c r="D41">
        <v>39</v>
      </c>
      <c r="E41" t="s">
        <v>12</v>
      </c>
      <c r="F41" s="1">
        <v>45041</v>
      </c>
      <c r="G41">
        <v>3503</v>
      </c>
      <c r="H41">
        <v>3</v>
      </c>
      <c r="I41">
        <v>11</v>
      </c>
      <c r="J41" s="1">
        <v>45643</v>
      </c>
      <c r="K41">
        <f t="shared" si="0"/>
        <v>45643</v>
      </c>
      <c r="L41" t="str">
        <f t="shared" si="1"/>
        <v>Exited</v>
      </c>
      <c r="M41">
        <f t="shared" ca="1" si="2"/>
        <v>602</v>
      </c>
      <c r="N41" t="str">
        <f t="shared" si="5"/>
        <v>30-39</v>
      </c>
      <c r="O41" t="str">
        <f t="shared" si="4"/>
        <v/>
      </c>
    </row>
    <row r="42" spans="1:15" x14ac:dyDescent="0.35">
      <c r="A42">
        <v>1041</v>
      </c>
      <c r="B42" t="s">
        <v>15</v>
      </c>
      <c r="C42" t="s">
        <v>14</v>
      </c>
      <c r="D42">
        <v>42</v>
      </c>
      <c r="E42" t="s">
        <v>12</v>
      </c>
      <c r="F42" s="1">
        <v>43471</v>
      </c>
      <c r="G42">
        <v>9204</v>
      </c>
      <c r="H42">
        <v>1</v>
      </c>
      <c r="I42">
        <v>20</v>
      </c>
      <c r="K42" t="str">
        <f t="shared" si="0"/>
        <v/>
      </c>
      <c r="L42" t="str">
        <f t="shared" si="1"/>
        <v>Active</v>
      </c>
      <c r="M42">
        <f t="shared" ca="1" si="2"/>
        <v>2510</v>
      </c>
      <c r="N42" t="str">
        <f t="shared" si="5"/>
        <v>40-49</v>
      </c>
      <c r="O42" t="str">
        <f t="shared" si="4"/>
        <v/>
      </c>
    </row>
    <row r="43" spans="1:15" x14ac:dyDescent="0.35">
      <c r="A43">
        <v>1042</v>
      </c>
      <c r="B43" t="s">
        <v>15</v>
      </c>
      <c r="C43" t="s">
        <v>14</v>
      </c>
      <c r="D43">
        <v>36</v>
      </c>
      <c r="E43" t="s">
        <v>12</v>
      </c>
      <c r="F43" s="1">
        <v>42491</v>
      </c>
      <c r="G43">
        <v>5203</v>
      </c>
      <c r="H43">
        <v>4</v>
      </c>
      <c r="I43">
        <v>10</v>
      </c>
      <c r="K43" t="str">
        <f t="shared" si="0"/>
        <v/>
      </c>
      <c r="L43" t="str">
        <f t="shared" si="1"/>
        <v>Active</v>
      </c>
      <c r="M43">
        <f t="shared" ca="1" si="2"/>
        <v>3490</v>
      </c>
      <c r="N43" t="str">
        <f t="shared" si="5"/>
        <v>30-39</v>
      </c>
      <c r="O43" t="str">
        <f t="shared" si="4"/>
        <v/>
      </c>
    </row>
    <row r="44" spans="1:15" x14ac:dyDescent="0.35">
      <c r="A44">
        <v>1043</v>
      </c>
      <c r="B44" t="s">
        <v>15</v>
      </c>
      <c r="C44" t="s">
        <v>11</v>
      </c>
      <c r="D44">
        <v>54</v>
      </c>
      <c r="E44" t="s">
        <v>12</v>
      </c>
      <c r="F44" s="1">
        <v>43305</v>
      </c>
      <c r="G44">
        <v>4425</v>
      </c>
      <c r="H44">
        <v>4</v>
      </c>
      <c r="I44">
        <v>6</v>
      </c>
      <c r="K44" t="str">
        <f t="shared" si="0"/>
        <v/>
      </c>
      <c r="L44" t="str">
        <f t="shared" si="1"/>
        <v>Active</v>
      </c>
      <c r="M44">
        <f t="shared" ca="1" si="2"/>
        <v>2676</v>
      </c>
      <c r="N44" t="str">
        <f t="shared" si="5"/>
        <v>50+</v>
      </c>
      <c r="O44" t="str">
        <f t="shared" si="4"/>
        <v/>
      </c>
    </row>
    <row r="45" spans="1:15" x14ac:dyDescent="0.35">
      <c r="A45">
        <v>1044</v>
      </c>
      <c r="B45" t="s">
        <v>17</v>
      </c>
      <c r="C45" t="s">
        <v>14</v>
      </c>
      <c r="D45">
        <v>56</v>
      </c>
      <c r="E45" t="s">
        <v>12</v>
      </c>
      <c r="F45" s="1">
        <v>44484</v>
      </c>
      <c r="G45">
        <v>6131</v>
      </c>
      <c r="H45">
        <v>5</v>
      </c>
      <c r="I45">
        <v>4</v>
      </c>
      <c r="K45" t="str">
        <f t="shared" si="0"/>
        <v/>
      </c>
      <c r="L45" t="str">
        <f t="shared" si="1"/>
        <v>Active</v>
      </c>
      <c r="M45">
        <f t="shared" ca="1" si="2"/>
        <v>1497</v>
      </c>
      <c r="N45" t="str">
        <f t="shared" si="5"/>
        <v>50+</v>
      </c>
      <c r="O45" t="str">
        <f t="shared" si="4"/>
        <v/>
      </c>
    </row>
    <row r="46" spans="1:15" x14ac:dyDescent="0.35">
      <c r="A46">
        <v>1045</v>
      </c>
      <c r="B46" t="s">
        <v>17</v>
      </c>
      <c r="C46" t="s">
        <v>14</v>
      </c>
      <c r="D46">
        <v>47</v>
      </c>
      <c r="E46" t="s">
        <v>12</v>
      </c>
      <c r="F46" s="1">
        <v>44862</v>
      </c>
      <c r="G46">
        <v>7533</v>
      </c>
      <c r="H46">
        <v>1</v>
      </c>
      <c r="I46">
        <v>16</v>
      </c>
      <c r="K46" t="str">
        <f t="shared" si="0"/>
        <v/>
      </c>
      <c r="L46" t="str">
        <f t="shared" si="1"/>
        <v>Active</v>
      </c>
      <c r="M46">
        <f t="shared" ca="1" si="2"/>
        <v>1119</v>
      </c>
      <c r="N46" t="str">
        <f t="shared" si="5"/>
        <v>40-49</v>
      </c>
      <c r="O46" t="str">
        <f t="shared" si="4"/>
        <v/>
      </c>
    </row>
    <row r="47" spans="1:15" x14ac:dyDescent="0.35">
      <c r="A47">
        <v>1046</v>
      </c>
      <c r="B47" t="s">
        <v>15</v>
      </c>
      <c r="C47" t="s">
        <v>14</v>
      </c>
      <c r="D47">
        <v>29</v>
      </c>
      <c r="E47" t="s">
        <v>12</v>
      </c>
      <c r="F47" s="1">
        <v>42909</v>
      </c>
      <c r="G47">
        <v>7905</v>
      </c>
      <c r="H47">
        <v>3</v>
      </c>
      <c r="I47">
        <v>19</v>
      </c>
      <c r="K47" t="str">
        <f t="shared" si="0"/>
        <v/>
      </c>
      <c r="L47" t="str">
        <f t="shared" si="1"/>
        <v>Active</v>
      </c>
      <c r="M47">
        <f t="shared" ca="1" si="2"/>
        <v>3072</v>
      </c>
      <c r="N47" t="str">
        <f t="shared" si="5"/>
        <v>Under 30</v>
      </c>
      <c r="O47" t="str">
        <f t="shared" si="4"/>
        <v/>
      </c>
    </row>
    <row r="48" spans="1:15" x14ac:dyDescent="0.35">
      <c r="A48">
        <v>1047</v>
      </c>
      <c r="B48" t="s">
        <v>10</v>
      </c>
      <c r="C48" t="s">
        <v>11</v>
      </c>
      <c r="D48">
        <v>57</v>
      </c>
      <c r="E48" t="s">
        <v>12</v>
      </c>
      <c r="F48" s="1">
        <v>42134</v>
      </c>
      <c r="G48">
        <v>5778</v>
      </c>
      <c r="H48">
        <v>4</v>
      </c>
      <c r="I48">
        <v>8</v>
      </c>
      <c r="K48" t="str">
        <f t="shared" si="0"/>
        <v/>
      </c>
      <c r="L48" t="str">
        <f t="shared" si="1"/>
        <v>Active</v>
      </c>
      <c r="M48">
        <f t="shared" ca="1" si="2"/>
        <v>3847</v>
      </c>
      <c r="N48" t="str">
        <f t="shared" si="5"/>
        <v>50+</v>
      </c>
      <c r="O48" t="str">
        <f t="shared" si="4"/>
        <v/>
      </c>
    </row>
    <row r="49" spans="1:15" x14ac:dyDescent="0.35">
      <c r="A49">
        <v>1048</v>
      </c>
      <c r="B49" t="s">
        <v>16</v>
      </c>
      <c r="C49" t="s">
        <v>11</v>
      </c>
      <c r="D49">
        <v>51</v>
      </c>
      <c r="E49" t="s">
        <v>12</v>
      </c>
      <c r="F49" s="1">
        <v>43209</v>
      </c>
      <c r="G49">
        <v>7536</v>
      </c>
      <c r="H49">
        <v>1</v>
      </c>
      <c r="I49">
        <v>13</v>
      </c>
      <c r="K49" t="str">
        <f t="shared" si="0"/>
        <v/>
      </c>
      <c r="L49" t="str">
        <f t="shared" si="1"/>
        <v>Active</v>
      </c>
      <c r="M49">
        <f t="shared" ca="1" si="2"/>
        <v>2772</v>
      </c>
      <c r="N49" t="str">
        <f t="shared" si="5"/>
        <v>50+</v>
      </c>
      <c r="O49" t="str">
        <f t="shared" si="4"/>
        <v/>
      </c>
    </row>
    <row r="50" spans="1:15" x14ac:dyDescent="0.35">
      <c r="A50">
        <v>1049</v>
      </c>
      <c r="B50" t="s">
        <v>16</v>
      </c>
      <c r="C50" t="s">
        <v>14</v>
      </c>
      <c r="D50">
        <v>44</v>
      </c>
      <c r="E50" t="s">
        <v>12</v>
      </c>
      <c r="F50" s="1">
        <v>42417</v>
      </c>
      <c r="G50">
        <v>5639</v>
      </c>
      <c r="H50">
        <v>4</v>
      </c>
      <c r="I50">
        <v>11</v>
      </c>
      <c r="K50" t="str">
        <f t="shared" si="0"/>
        <v/>
      </c>
      <c r="L50" t="str">
        <f t="shared" si="1"/>
        <v>Active</v>
      </c>
      <c r="M50">
        <f t="shared" ca="1" si="2"/>
        <v>3564</v>
      </c>
      <c r="N50" t="str">
        <f t="shared" si="5"/>
        <v>40-49</v>
      </c>
      <c r="O50" t="str">
        <f t="shared" si="4"/>
        <v/>
      </c>
    </row>
    <row r="51" spans="1:15" x14ac:dyDescent="0.35">
      <c r="A51">
        <v>1050</v>
      </c>
      <c r="B51" t="s">
        <v>16</v>
      </c>
      <c r="C51" t="s">
        <v>14</v>
      </c>
      <c r="D51">
        <v>35</v>
      </c>
      <c r="E51" t="s">
        <v>21</v>
      </c>
      <c r="F51" s="1">
        <v>44656</v>
      </c>
      <c r="G51">
        <v>6184</v>
      </c>
      <c r="H51">
        <v>3</v>
      </c>
      <c r="I51">
        <v>5</v>
      </c>
      <c r="K51" t="str">
        <f t="shared" si="0"/>
        <v/>
      </c>
      <c r="L51" t="str">
        <f t="shared" si="1"/>
        <v>Active</v>
      </c>
      <c r="M51">
        <f t="shared" ca="1" si="2"/>
        <v>1325</v>
      </c>
      <c r="N51" t="str">
        <f t="shared" si="5"/>
        <v>30-39</v>
      </c>
      <c r="O51" t="str">
        <f t="shared" si="4"/>
        <v/>
      </c>
    </row>
    <row r="52" spans="1:15" x14ac:dyDescent="0.35">
      <c r="A52">
        <v>1051</v>
      </c>
      <c r="B52" t="s">
        <v>17</v>
      </c>
      <c r="C52" t="s">
        <v>11</v>
      </c>
      <c r="D52">
        <v>35</v>
      </c>
      <c r="E52" t="s">
        <v>12</v>
      </c>
      <c r="F52" s="1">
        <v>43377</v>
      </c>
      <c r="G52">
        <v>5459</v>
      </c>
      <c r="H52">
        <v>4</v>
      </c>
      <c r="I52">
        <v>16</v>
      </c>
      <c r="K52" t="str">
        <f t="shared" si="0"/>
        <v/>
      </c>
      <c r="L52" t="str">
        <f t="shared" si="1"/>
        <v>Active</v>
      </c>
      <c r="M52">
        <f t="shared" ca="1" si="2"/>
        <v>2604</v>
      </c>
      <c r="N52" t="str">
        <f t="shared" si="5"/>
        <v>30-39</v>
      </c>
      <c r="O52" t="str">
        <f t="shared" si="4"/>
        <v/>
      </c>
    </row>
    <row r="53" spans="1:15" x14ac:dyDescent="0.35">
      <c r="A53">
        <v>1052</v>
      </c>
      <c r="B53" t="s">
        <v>17</v>
      </c>
      <c r="C53" t="s">
        <v>11</v>
      </c>
      <c r="D53">
        <v>23</v>
      </c>
      <c r="E53" t="s">
        <v>21</v>
      </c>
      <c r="F53" s="1">
        <v>42653</v>
      </c>
      <c r="G53">
        <v>4661</v>
      </c>
      <c r="H53">
        <v>5</v>
      </c>
      <c r="I53">
        <v>18</v>
      </c>
      <c r="J53" s="1">
        <v>43448</v>
      </c>
      <c r="K53">
        <f t="shared" si="0"/>
        <v>43448</v>
      </c>
      <c r="L53" t="str">
        <f t="shared" si="1"/>
        <v>Exited</v>
      </c>
      <c r="M53">
        <f t="shared" ca="1" si="2"/>
        <v>795</v>
      </c>
      <c r="N53" t="str">
        <f t="shared" si="5"/>
        <v>Under 30</v>
      </c>
      <c r="O53" t="str">
        <f t="shared" si="4"/>
        <v/>
      </c>
    </row>
    <row r="54" spans="1:15" x14ac:dyDescent="0.35">
      <c r="A54">
        <v>1053</v>
      </c>
      <c r="B54" t="s">
        <v>10</v>
      </c>
      <c r="C54" t="s">
        <v>11</v>
      </c>
      <c r="D54">
        <v>58</v>
      </c>
      <c r="E54" t="s">
        <v>21</v>
      </c>
      <c r="F54" s="1">
        <v>43914</v>
      </c>
      <c r="G54">
        <v>5656</v>
      </c>
      <c r="H54">
        <v>5</v>
      </c>
      <c r="I54">
        <v>18</v>
      </c>
      <c r="J54" s="1">
        <v>45620</v>
      </c>
      <c r="K54">
        <f t="shared" si="0"/>
        <v>45620</v>
      </c>
      <c r="L54" t="str">
        <f t="shared" si="1"/>
        <v>Exited</v>
      </c>
      <c r="M54">
        <f t="shared" ca="1" si="2"/>
        <v>1706</v>
      </c>
      <c r="N54" t="str">
        <f t="shared" si="5"/>
        <v>50+</v>
      </c>
      <c r="O54" t="str">
        <f t="shared" si="4"/>
        <v/>
      </c>
    </row>
    <row r="55" spans="1:15" x14ac:dyDescent="0.35">
      <c r="A55">
        <v>1054</v>
      </c>
      <c r="B55" t="s">
        <v>16</v>
      </c>
      <c r="C55" t="s">
        <v>14</v>
      </c>
      <c r="D55">
        <v>26</v>
      </c>
      <c r="E55" t="s">
        <v>12</v>
      </c>
      <c r="F55" s="1">
        <v>44121</v>
      </c>
      <c r="G55">
        <v>8101</v>
      </c>
      <c r="H55">
        <v>4</v>
      </c>
      <c r="I55">
        <v>15</v>
      </c>
      <c r="J55" s="1">
        <v>44687</v>
      </c>
      <c r="K55">
        <f t="shared" si="0"/>
        <v>44687</v>
      </c>
      <c r="L55" t="str">
        <f t="shared" si="1"/>
        <v>Exited</v>
      </c>
      <c r="M55">
        <f t="shared" ca="1" si="2"/>
        <v>566</v>
      </c>
      <c r="N55" t="str">
        <f t="shared" si="5"/>
        <v>Under 30</v>
      </c>
      <c r="O55" t="str">
        <f t="shared" si="4"/>
        <v/>
      </c>
    </row>
    <row r="56" spans="1:15" x14ac:dyDescent="0.35">
      <c r="A56">
        <v>1055</v>
      </c>
      <c r="B56" t="s">
        <v>16</v>
      </c>
      <c r="C56" t="s">
        <v>11</v>
      </c>
      <c r="D56">
        <v>59</v>
      </c>
      <c r="E56" t="s">
        <v>21</v>
      </c>
      <c r="F56" s="1">
        <v>43110</v>
      </c>
      <c r="G56">
        <v>3485</v>
      </c>
      <c r="H56">
        <v>1</v>
      </c>
      <c r="I56">
        <v>11</v>
      </c>
      <c r="K56" t="str">
        <f t="shared" si="0"/>
        <v/>
      </c>
      <c r="L56" t="str">
        <f t="shared" si="1"/>
        <v>Active</v>
      </c>
      <c r="M56">
        <f t="shared" ca="1" si="2"/>
        <v>2871</v>
      </c>
      <c r="N56" t="str">
        <f t="shared" si="5"/>
        <v>50+</v>
      </c>
      <c r="O56" t="str">
        <f t="shared" si="4"/>
        <v/>
      </c>
    </row>
    <row r="57" spans="1:15" x14ac:dyDescent="0.35">
      <c r="A57">
        <v>1056</v>
      </c>
      <c r="B57" t="s">
        <v>15</v>
      </c>
      <c r="C57" t="s">
        <v>11</v>
      </c>
      <c r="D57">
        <v>35</v>
      </c>
      <c r="E57" t="s">
        <v>12</v>
      </c>
      <c r="F57" s="1">
        <v>44060</v>
      </c>
      <c r="G57">
        <v>8747</v>
      </c>
      <c r="H57">
        <v>1</v>
      </c>
      <c r="I57">
        <v>11</v>
      </c>
      <c r="K57" t="str">
        <f t="shared" si="0"/>
        <v/>
      </c>
      <c r="L57" t="str">
        <f t="shared" si="1"/>
        <v>Active</v>
      </c>
      <c r="M57">
        <f t="shared" ca="1" si="2"/>
        <v>1921</v>
      </c>
      <c r="N57" t="str">
        <f t="shared" si="5"/>
        <v>30-39</v>
      </c>
      <c r="O57" t="str">
        <f t="shared" si="4"/>
        <v/>
      </c>
    </row>
    <row r="58" spans="1:15" x14ac:dyDescent="0.35">
      <c r="A58">
        <v>1057</v>
      </c>
      <c r="B58" t="s">
        <v>17</v>
      </c>
      <c r="C58" t="s">
        <v>11</v>
      </c>
      <c r="D58">
        <v>60</v>
      </c>
      <c r="E58" t="s">
        <v>12</v>
      </c>
      <c r="F58" s="1">
        <v>42518</v>
      </c>
      <c r="G58">
        <v>7083</v>
      </c>
      <c r="H58">
        <v>1</v>
      </c>
      <c r="I58">
        <v>19</v>
      </c>
      <c r="J58" s="1">
        <v>44155</v>
      </c>
      <c r="K58">
        <f t="shared" si="0"/>
        <v>44155</v>
      </c>
      <c r="L58" t="str">
        <f t="shared" si="1"/>
        <v>Exited</v>
      </c>
      <c r="M58">
        <f t="shared" ca="1" si="2"/>
        <v>1637</v>
      </c>
      <c r="N58" t="str">
        <f t="shared" si="5"/>
        <v>50+</v>
      </c>
      <c r="O58" t="str">
        <f t="shared" si="4"/>
        <v/>
      </c>
    </row>
    <row r="59" spans="1:15" x14ac:dyDescent="0.35">
      <c r="A59">
        <v>1058</v>
      </c>
      <c r="B59" t="s">
        <v>16</v>
      </c>
      <c r="C59" t="s">
        <v>11</v>
      </c>
      <c r="D59">
        <v>46</v>
      </c>
      <c r="E59" t="s">
        <v>12</v>
      </c>
      <c r="F59" s="1">
        <v>42480</v>
      </c>
      <c r="G59">
        <v>4419</v>
      </c>
      <c r="H59">
        <v>4</v>
      </c>
      <c r="I59">
        <v>5</v>
      </c>
      <c r="K59" t="str">
        <f t="shared" si="0"/>
        <v/>
      </c>
      <c r="L59" t="str">
        <f t="shared" si="1"/>
        <v>Active</v>
      </c>
      <c r="M59">
        <f t="shared" ca="1" si="2"/>
        <v>3501</v>
      </c>
      <c r="N59" t="str">
        <f t="shared" si="5"/>
        <v>40-49</v>
      </c>
      <c r="O59" t="str">
        <f t="shared" si="4"/>
        <v/>
      </c>
    </row>
    <row r="60" spans="1:15" x14ac:dyDescent="0.35">
      <c r="A60">
        <v>1059</v>
      </c>
      <c r="B60" t="s">
        <v>13</v>
      </c>
      <c r="C60" t="s">
        <v>14</v>
      </c>
      <c r="D60">
        <v>41</v>
      </c>
      <c r="E60" t="s">
        <v>12</v>
      </c>
      <c r="F60" s="1">
        <v>43336</v>
      </c>
      <c r="G60">
        <v>8583</v>
      </c>
      <c r="H60">
        <v>1</v>
      </c>
      <c r="I60">
        <v>3</v>
      </c>
      <c r="K60" t="str">
        <f t="shared" si="0"/>
        <v/>
      </c>
      <c r="L60" t="str">
        <f t="shared" si="1"/>
        <v>Active</v>
      </c>
      <c r="M60">
        <f t="shared" ca="1" si="2"/>
        <v>2645</v>
      </c>
      <c r="N60" t="str">
        <f t="shared" si="5"/>
        <v>40-49</v>
      </c>
      <c r="O60" t="str">
        <f t="shared" si="4"/>
        <v/>
      </c>
    </row>
    <row r="61" spans="1:15" x14ac:dyDescent="0.35">
      <c r="A61">
        <v>1060</v>
      </c>
      <c r="B61" t="s">
        <v>10</v>
      </c>
      <c r="C61" t="s">
        <v>14</v>
      </c>
      <c r="D61">
        <v>23</v>
      </c>
      <c r="E61" t="s">
        <v>12</v>
      </c>
      <c r="F61" s="1">
        <v>44747</v>
      </c>
      <c r="G61">
        <v>7880</v>
      </c>
      <c r="H61">
        <v>3</v>
      </c>
      <c r="I61">
        <v>5</v>
      </c>
      <c r="K61" t="str">
        <f t="shared" si="0"/>
        <v/>
      </c>
      <c r="L61" t="str">
        <f t="shared" si="1"/>
        <v>Active</v>
      </c>
      <c r="M61">
        <f t="shared" ca="1" si="2"/>
        <v>1234</v>
      </c>
      <c r="N61" t="str">
        <f t="shared" si="5"/>
        <v>Under 30</v>
      </c>
      <c r="O61" t="str">
        <f t="shared" si="4"/>
        <v/>
      </c>
    </row>
    <row r="62" spans="1:15" x14ac:dyDescent="0.35">
      <c r="A62">
        <v>1061</v>
      </c>
      <c r="B62" t="s">
        <v>13</v>
      </c>
      <c r="C62" t="s">
        <v>11</v>
      </c>
      <c r="D62">
        <v>60</v>
      </c>
      <c r="E62" t="s">
        <v>12</v>
      </c>
      <c r="F62" s="1">
        <v>44229</v>
      </c>
      <c r="G62">
        <v>7443</v>
      </c>
      <c r="H62">
        <v>5</v>
      </c>
      <c r="I62">
        <v>10</v>
      </c>
      <c r="K62" t="str">
        <f t="shared" si="0"/>
        <v/>
      </c>
      <c r="L62" t="str">
        <f t="shared" si="1"/>
        <v>Active</v>
      </c>
      <c r="M62">
        <f t="shared" ca="1" si="2"/>
        <v>1752</v>
      </c>
      <c r="N62" t="str">
        <f t="shared" si="5"/>
        <v>50+</v>
      </c>
      <c r="O62" t="str">
        <f t="shared" si="4"/>
        <v/>
      </c>
    </row>
    <row r="63" spans="1:15" x14ac:dyDescent="0.35">
      <c r="A63">
        <v>1062</v>
      </c>
      <c r="B63" t="s">
        <v>13</v>
      </c>
      <c r="C63" t="s">
        <v>11</v>
      </c>
      <c r="D63">
        <v>27</v>
      </c>
      <c r="E63" t="s">
        <v>12</v>
      </c>
      <c r="F63" s="1">
        <v>44932</v>
      </c>
      <c r="G63">
        <v>4231</v>
      </c>
      <c r="H63">
        <v>3</v>
      </c>
      <c r="I63">
        <v>0</v>
      </c>
      <c r="K63" t="str">
        <f t="shared" si="0"/>
        <v/>
      </c>
      <c r="L63" t="str">
        <f t="shared" si="1"/>
        <v>Active</v>
      </c>
      <c r="M63">
        <f t="shared" ca="1" si="2"/>
        <v>1049</v>
      </c>
      <c r="N63" t="str">
        <f t="shared" si="5"/>
        <v>Under 30</v>
      </c>
      <c r="O63" t="str">
        <f t="shared" si="4"/>
        <v/>
      </c>
    </row>
    <row r="64" spans="1:15" x14ac:dyDescent="0.35">
      <c r="A64">
        <v>1063</v>
      </c>
      <c r="B64" t="s">
        <v>10</v>
      </c>
      <c r="C64" t="s">
        <v>11</v>
      </c>
      <c r="D64">
        <v>38</v>
      </c>
      <c r="E64" t="s">
        <v>12</v>
      </c>
      <c r="F64" s="1">
        <v>44916</v>
      </c>
      <c r="G64">
        <v>3675</v>
      </c>
      <c r="H64">
        <v>1</v>
      </c>
      <c r="I64">
        <v>14</v>
      </c>
      <c r="J64" s="1">
        <v>46448</v>
      </c>
      <c r="K64">
        <f t="shared" si="0"/>
        <v>46448</v>
      </c>
      <c r="L64" t="str">
        <f t="shared" si="1"/>
        <v>Exited</v>
      </c>
      <c r="M64">
        <f t="shared" ca="1" si="2"/>
        <v>1532</v>
      </c>
      <c r="N64" t="str">
        <f t="shared" si="5"/>
        <v>30-39</v>
      </c>
      <c r="O64" t="str">
        <f t="shared" si="4"/>
        <v/>
      </c>
    </row>
    <row r="65" spans="1:15" x14ac:dyDescent="0.35">
      <c r="A65">
        <v>1064</v>
      </c>
      <c r="B65" t="s">
        <v>13</v>
      </c>
      <c r="C65" t="s">
        <v>11</v>
      </c>
      <c r="D65">
        <v>46</v>
      </c>
      <c r="E65" t="s">
        <v>12</v>
      </c>
      <c r="F65" s="1">
        <v>43771</v>
      </c>
      <c r="G65">
        <v>7513</v>
      </c>
      <c r="H65">
        <v>3</v>
      </c>
      <c r="I65">
        <v>10</v>
      </c>
      <c r="K65" t="str">
        <f t="shared" si="0"/>
        <v/>
      </c>
      <c r="L65" t="str">
        <f t="shared" si="1"/>
        <v>Active</v>
      </c>
      <c r="M65">
        <f t="shared" ca="1" si="2"/>
        <v>2210</v>
      </c>
      <c r="N65" t="str">
        <f t="shared" si="5"/>
        <v>40-49</v>
      </c>
      <c r="O65" t="str">
        <f t="shared" si="4"/>
        <v/>
      </c>
    </row>
    <row r="66" spans="1:15" x14ac:dyDescent="0.35">
      <c r="A66">
        <v>1065</v>
      </c>
      <c r="B66" t="s">
        <v>16</v>
      </c>
      <c r="C66" t="s">
        <v>11</v>
      </c>
      <c r="D66">
        <v>49</v>
      </c>
      <c r="E66" t="s">
        <v>12</v>
      </c>
      <c r="F66" s="1">
        <v>42473</v>
      </c>
      <c r="G66">
        <v>5261</v>
      </c>
      <c r="H66">
        <v>1</v>
      </c>
      <c r="I66">
        <v>18</v>
      </c>
      <c r="K66" t="str">
        <f t="shared" si="0"/>
        <v/>
      </c>
      <c r="L66" t="str">
        <f t="shared" si="1"/>
        <v>Active</v>
      </c>
      <c r="M66">
        <f t="shared" ca="1" si="2"/>
        <v>3508</v>
      </c>
      <c r="N66" t="str">
        <f t="shared" si="5"/>
        <v>40-49</v>
      </c>
      <c r="O66" t="str">
        <f t="shared" si="4"/>
        <v/>
      </c>
    </row>
    <row r="67" spans="1:15" x14ac:dyDescent="0.35">
      <c r="A67">
        <v>1066</v>
      </c>
      <c r="B67" t="s">
        <v>17</v>
      </c>
      <c r="C67" t="s">
        <v>11</v>
      </c>
      <c r="D67">
        <v>23</v>
      </c>
      <c r="E67" t="s">
        <v>12</v>
      </c>
      <c r="F67" s="1">
        <v>43688</v>
      </c>
      <c r="G67">
        <v>4165</v>
      </c>
      <c r="H67">
        <v>4</v>
      </c>
      <c r="I67">
        <v>17</v>
      </c>
      <c r="K67" t="str">
        <f t="shared" ref="K67:K130" si="6">IF(J67="", "", J67)</f>
        <v/>
      </c>
      <c r="L67" t="str">
        <f t="shared" ref="L67:L130" si="7">IF(J67="", "Active", "Exited")</f>
        <v>Active</v>
      </c>
      <c r="M67">
        <f t="shared" ref="M67:M130" ca="1" si="8">IF(L67="Active", TODAY()-F67, J67-F67)</f>
        <v>2293</v>
      </c>
      <c r="N67" t="str">
        <f t="shared" ref="N67:N130" si="9">IF(D67&lt;30,"Under 30",
IF(D67&lt;40,"30-39",
IF(D67&lt;50,"40-49","50+")))</f>
        <v>Under 30</v>
      </c>
      <c r="O67" t="str">
        <f t="shared" ref="O67:O130" si="10">IF(AND(J67&lt;&gt;"", F67&lt;&gt;"", J67&lt;F67), "Invalid Exit Date", "")</f>
        <v/>
      </c>
    </row>
    <row r="68" spans="1:15" x14ac:dyDescent="0.35">
      <c r="A68">
        <v>1067</v>
      </c>
      <c r="B68" t="s">
        <v>10</v>
      </c>
      <c r="C68" t="s">
        <v>14</v>
      </c>
      <c r="D68">
        <v>56</v>
      </c>
      <c r="E68" t="s">
        <v>12</v>
      </c>
      <c r="F68" s="1">
        <v>44906</v>
      </c>
      <c r="G68">
        <v>4043</v>
      </c>
      <c r="H68">
        <v>3</v>
      </c>
      <c r="I68">
        <v>16</v>
      </c>
      <c r="K68" t="str">
        <f t="shared" si="6"/>
        <v/>
      </c>
      <c r="L68" t="str">
        <f t="shared" si="7"/>
        <v>Active</v>
      </c>
      <c r="M68">
        <f t="shared" ca="1" si="8"/>
        <v>1075</v>
      </c>
      <c r="N68" t="str">
        <f t="shared" si="9"/>
        <v>50+</v>
      </c>
      <c r="O68" t="str">
        <f t="shared" si="10"/>
        <v/>
      </c>
    </row>
    <row r="69" spans="1:15" x14ac:dyDescent="0.35">
      <c r="A69">
        <v>1068</v>
      </c>
      <c r="B69" t="s">
        <v>15</v>
      </c>
      <c r="C69" t="s">
        <v>11</v>
      </c>
      <c r="D69">
        <v>58</v>
      </c>
      <c r="E69" t="s">
        <v>21</v>
      </c>
      <c r="F69" s="1">
        <v>44973</v>
      </c>
      <c r="G69">
        <v>7798</v>
      </c>
      <c r="H69">
        <v>4</v>
      </c>
      <c r="I69">
        <v>18</v>
      </c>
      <c r="K69" t="str">
        <f t="shared" si="6"/>
        <v/>
      </c>
      <c r="L69" t="str">
        <f t="shared" si="7"/>
        <v>Active</v>
      </c>
      <c r="M69">
        <f t="shared" ca="1" si="8"/>
        <v>1008</v>
      </c>
      <c r="N69" t="str">
        <f t="shared" si="9"/>
        <v>50+</v>
      </c>
      <c r="O69" t="str">
        <f t="shared" si="10"/>
        <v/>
      </c>
    </row>
    <row r="70" spans="1:15" x14ac:dyDescent="0.35">
      <c r="A70">
        <v>1069</v>
      </c>
      <c r="B70" t="s">
        <v>13</v>
      </c>
      <c r="C70" t="s">
        <v>14</v>
      </c>
      <c r="D70">
        <v>26</v>
      </c>
      <c r="E70" t="s">
        <v>12</v>
      </c>
      <c r="F70" s="1">
        <v>44996</v>
      </c>
      <c r="G70">
        <v>2962</v>
      </c>
      <c r="H70">
        <v>4</v>
      </c>
      <c r="I70">
        <v>20</v>
      </c>
      <c r="J70" s="1">
        <v>45997</v>
      </c>
      <c r="K70">
        <f t="shared" si="6"/>
        <v>45997</v>
      </c>
      <c r="L70" t="str">
        <f t="shared" si="7"/>
        <v>Exited</v>
      </c>
      <c r="M70">
        <f t="shared" ca="1" si="8"/>
        <v>1001</v>
      </c>
      <c r="N70" t="str">
        <f t="shared" si="9"/>
        <v>Under 30</v>
      </c>
      <c r="O70" t="str">
        <f t="shared" si="10"/>
        <v/>
      </c>
    </row>
    <row r="71" spans="1:15" x14ac:dyDescent="0.35">
      <c r="A71">
        <v>1070</v>
      </c>
      <c r="B71" t="s">
        <v>10</v>
      </c>
      <c r="C71" t="s">
        <v>14</v>
      </c>
      <c r="D71">
        <v>22</v>
      </c>
      <c r="E71" t="s">
        <v>12</v>
      </c>
      <c r="F71" s="1">
        <v>42357</v>
      </c>
      <c r="G71">
        <v>4774</v>
      </c>
      <c r="H71">
        <v>2</v>
      </c>
      <c r="I71">
        <v>13</v>
      </c>
      <c r="J71" s="1">
        <v>43474</v>
      </c>
      <c r="K71">
        <f t="shared" si="6"/>
        <v>43474</v>
      </c>
      <c r="L71" t="str">
        <f t="shared" si="7"/>
        <v>Exited</v>
      </c>
      <c r="M71">
        <f t="shared" ca="1" si="8"/>
        <v>1117</v>
      </c>
      <c r="N71" t="str">
        <f t="shared" si="9"/>
        <v>Under 30</v>
      </c>
      <c r="O71" t="str">
        <f t="shared" si="10"/>
        <v/>
      </c>
    </row>
    <row r="72" spans="1:15" x14ac:dyDescent="0.35">
      <c r="A72">
        <v>1071</v>
      </c>
      <c r="B72" t="s">
        <v>19</v>
      </c>
      <c r="C72" t="s">
        <v>20</v>
      </c>
      <c r="D72">
        <v>33</v>
      </c>
      <c r="E72" t="s">
        <v>12</v>
      </c>
      <c r="F72" s="1">
        <v>44941</v>
      </c>
      <c r="G72">
        <v>6091</v>
      </c>
      <c r="H72">
        <v>1</v>
      </c>
      <c r="I72">
        <v>17</v>
      </c>
      <c r="K72" t="str">
        <f t="shared" si="6"/>
        <v/>
      </c>
      <c r="L72" t="str">
        <f t="shared" si="7"/>
        <v>Active</v>
      </c>
      <c r="M72">
        <f t="shared" ca="1" si="8"/>
        <v>1040</v>
      </c>
      <c r="N72" t="str">
        <f t="shared" si="9"/>
        <v>30-39</v>
      </c>
      <c r="O72" t="str">
        <f t="shared" si="10"/>
        <v/>
      </c>
    </row>
    <row r="73" spans="1:15" x14ac:dyDescent="0.35">
      <c r="A73">
        <v>1072</v>
      </c>
      <c r="B73" t="s">
        <v>19</v>
      </c>
      <c r="C73" t="s">
        <v>14</v>
      </c>
      <c r="D73">
        <v>57</v>
      </c>
      <c r="E73" t="s">
        <v>12</v>
      </c>
      <c r="F73" s="1">
        <v>44221</v>
      </c>
      <c r="G73">
        <v>3069</v>
      </c>
      <c r="H73">
        <v>5</v>
      </c>
      <c r="I73">
        <v>18</v>
      </c>
      <c r="K73" t="str">
        <f t="shared" si="6"/>
        <v/>
      </c>
      <c r="L73" t="str">
        <f t="shared" si="7"/>
        <v>Active</v>
      </c>
      <c r="M73">
        <f t="shared" ca="1" si="8"/>
        <v>1760</v>
      </c>
      <c r="N73" t="str">
        <f t="shared" si="9"/>
        <v>50+</v>
      </c>
      <c r="O73" t="str">
        <f t="shared" si="10"/>
        <v/>
      </c>
    </row>
    <row r="74" spans="1:15" x14ac:dyDescent="0.35">
      <c r="A74">
        <v>1073</v>
      </c>
      <c r="B74" t="s">
        <v>17</v>
      </c>
      <c r="C74" t="s">
        <v>14</v>
      </c>
      <c r="D74">
        <v>44</v>
      </c>
      <c r="E74" t="s">
        <v>18</v>
      </c>
      <c r="F74" s="1">
        <v>45008</v>
      </c>
      <c r="G74">
        <v>3431</v>
      </c>
      <c r="H74">
        <v>1</v>
      </c>
      <c r="I74">
        <v>14</v>
      </c>
      <c r="J74" s="1">
        <v>46365</v>
      </c>
      <c r="K74">
        <f t="shared" si="6"/>
        <v>46365</v>
      </c>
      <c r="L74" t="str">
        <f t="shared" si="7"/>
        <v>Exited</v>
      </c>
      <c r="M74">
        <f t="shared" ca="1" si="8"/>
        <v>1357</v>
      </c>
      <c r="N74" t="str">
        <f t="shared" si="9"/>
        <v>40-49</v>
      </c>
      <c r="O74" t="str">
        <f t="shared" si="10"/>
        <v/>
      </c>
    </row>
    <row r="75" spans="1:15" x14ac:dyDescent="0.35">
      <c r="A75">
        <v>1074</v>
      </c>
      <c r="B75" t="s">
        <v>16</v>
      </c>
      <c r="C75" t="s">
        <v>14</v>
      </c>
      <c r="D75">
        <v>52</v>
      </c>
      <c r="E75" t="s">
        <v>12</v>
      </c>
      <c r="F75" s="1">
        <v>44888</v>
      </c>
      <c r="G75">
        <v>3705</v>
      </c>
      <c r="H75">
        <v>5</v>
      </c>
      <c r="I75">
        <v>14</v>
      </c>
      <c r="K75" t="str">
        <f t="shared" si="6"/>
        <v/>
      </c>
      <c r="L75" t="str">
        <f t="shared" si="7"/>
        <v>Active</v>
      </c>
      <c r="M75">
        <f t="shared" ca="1" si="8"/>
        <v>1093</v>
      </c>
      <c r="N75" t="str">
        <f t="shared" si="9"/>
        <v>50+</v>
      </c>
      <c r="O75" t="str">
        <f t="shared" si="10"/>
        <v/>
      </c>
    </row>
    <row r="76" spans="1:15" x14ac:dyDescent="0.35">
      <c r="A76">
        <v>1075</v>
      </c>
      <c r="B76" t="s">
        <v>17</v>
      </c>
      <c r="C76" t="s">
        <v>11</v>
      </c>
      <c r="D76">
        <v>32</v>
      </c>
      <c r="E76" t="s">
        <v>21</v>
      </c>
      <c r="F76" s="1">
        <v>42140</v>
      </c>
      <c r="G76">
        <v>6271</v>
      </c>
      <c r="H76">
        <v>1</v>
      </c>
      <c r="I76">
        <v>3</v>
      </c>
      <c r="K76" t="str">
        <f t="shared" si="6"/>
        <v/>
      </c>
      <c r="L76" t="str">
        <f t="shared" si="7"/>
        <v>Active</v>
      </c>
      <c r="M76">
        <f t="shared" ca="1" si="8"/>
        <v>3841</v>
      </c>
      <c r="N76" t="str">
        <f t="shared" si="9"/>
        <v>30-39</v>
      </c>
      <c r="O76" t="str">
        <f t="shared" si="10"/>
        <v/>
      </c>
    </row>
    <row r="77" spans="1:15" x14ac:dyDescent="0.35">
      <c r="A77">
        <v>1076</v>
      </c>
      <c r="B77" t="s">
        <v>17</v>
      </c>
      <c r="C77" t="s">
        <v>14</v>
      </c>
      <c r="D77">
        <v>31</v>
      </c>
      <c r="E77" t="s">
        <v>12</v>
      </c>
      <c r="F77" s="1">
        <v>44906</v>
      </c>
      <c r="G77">
        <v>6053</v>
      </c>
      <c r="H77">
        <v>4</v>
      </c>
      <c r="I77">
        <v>6</v>
      </c>
      <c r="K77" t="str">
        <f t="shared" si="6"/>
        <v/>
      </c>
      <c r="L77" t="str">
        <f t="shared" si="7"/>
        <v>Active</v>
      </c>
      <c r="M77">
        <f t="shared" ca="1" si="8"/>
        <v>1075</v>
      </c>
      <c r="N77" t="str">
        <f t="shared" si="9"/>
        <v>30-39</v>
      </c>
      <c r="O77" t="str">
        <f t="shared" si="10"/>
        <v/>
      </c>
    </row>
    <row r="78" spans="1:15" x14ac:dyDescent="0.35">
      <c r="A78">
        <v>1077</v>
      </c>
      <c r="B78" t="s">
        <v>17</v>
      </c>
      <c r="C78" t="s">
        <v>14</v>
      </c>
      <c r="D78">
        <v>24</v>
      </c>
      <c r="E78" t="s">
        <v>12</v>
      </c>
      <c r="F78" s="1">
        <v>44642</v>
      </c>
      <c r="G78">
        <v>4814</v>
      </c>
      <c r="H78">
        <v>3</v>
      </c>
      <c r="I78">
        <v>12</v>
      </c>
      <c r="K78" t="str">
        <f t="shared" si="6"/>
        <v/>
      </c>
      <c r="L78" t="str">
        <f t="shared" si="7"/>
        <v>Active</v>
      </c>
      <c r="M78">
        <f t="shared" ca="1" si="8"/>
        <v>1339</v>
      </c>
      <c r="N78" t="str">
        <f t="shared" si="9"/>
        <v>Under 30</v>
      </c>
      <c r="O78" t="str">
        <f t="shared" si="10"/>
        <v/>
      </c>
    </row>
    <row r="79" spans="1:15" x14ac:dyDescent="0.35">
      <c r="A79">
        <v>1078</v>
      </c>
      <c r="B79" t="s">
        <v>17</v>
      </c>
      <c r="C79" t="s">
        <v>14</v>
      </c>
      <c r="D79">
        <v>35</v>
      </c>
      <c r="E79" t="s">
        <v>12</v>
      </c>
      <c r="F79" s="1">
        <v>42751</v>
      </c>
      <c r="G79">
        <v>4441</v>
      </c>
      <c r="H79">
        <v>3</v>
      </c>
      <c r="I79">
        <v>2</v>
      </c>
      <c r="K79" t="str">
        <f t="shared" si="6"/>
        <v/>
      </c>
      <c r="L79" t="str">
        <f t="shared" si="7"/>
        <v>Active</v>
      </c>
      <c r="M79">
        <f t="shared" ca="1" si="8"/>
        <v>3230</v>
      </c>
      <c r="N79" t="str">
        <f t="shared" si="9"/>
        <v>30-39</v>
      </c>
      <c r="O79" t="str">
        <f t="shared" si="10"/>
        <v/>
      </c>
    </row>
    <row r="80" spans="1:15" x14ac:dyDescent="0.35">
      <c r="A80">
        <v>1079</v>
      </c>
      <c r="B80" t="s">
        <v>15</v>
      </c>
      <c r="C80" t="s">
        <v>14</v>
      </c>
      <c r="D80">
        <v>37</v>
      </c>
      <c r="E80" t="s">
        <v>12</v>
      </c>
      <c r="F80" s="1">
        <v>42012</v>
      </c>
      <c r="G80">
        <v>3004</v>
      </c>
      <c r="H80">
        <v>2</v>
      </c>
      <c r="I80">
        <v>15</v>
      </c>
      <c r="K80" t="str">
        <f t="shared" si="6"/>
        <v/>
      </c>
      <c r="L80" t="str">
        <f t="shared" si="7"/>
        <v>Active</v>
      </c>
      <c r="M80">
        <f t="shared" ca="1" si="8"/>
        <v>3969</v>
      </c>
      <c r="N80" t="str">
        <f t="shared" si="9"/>
        <v>30-39</v>
      </c>
      <c r="O80" t="str">
        <f t="shared" si="10"/>
        <v/>
      </c>
    </row>
    <row r="81" spans="1:15" x14ac:dyDescent="0.35">
      <c r="A81">
        <v>1080</v>
      </c>
      <c r="B81" t="s">
        <v>15</v>
      </c>
      <c r="C81" t="s">
        <v>14</v>
      </c>
      <c r="D81">
        <v>31</v>
      </c>
      <c r="E81" t="s">
        <v>12</v>
      </c>
      <c r="F81" s="1">
        <v>44777</v>
      </c>
      <c r="G81">
        <v>3381</v>
      </c>
      <c r="H81">
        <v>5</v>
      </c>
      <c r="I81">
        <v>8</v>
      </c>
      <c r="J81" s="1">
        <v>46719</v>
      </c>
      <c r="K81">
        <f t="shared" si="6"/>
        <v>46719</v>
      </c>
      <c r="L81" t="str">
        <f t="shared" si="7"/>
        <v>Exited</v>
      </c>
      <c r="M81">
        <f t="shared" ca="1" si="8"/>
        <v>1942</v>
      </c>
      <c r="N81" t="str">
        <f t="shared" si="9"/>
        <v>30-39</v>
      </c>
      <c r="O81" t="str">
        <f t="shared" si="10"/>
        <v/>
      </c>
    </row>
    <row r="82" spans="1:15" x14ac:dyDescent="0.35">
      <c r="A82">
        <v>1081</v>
      </c>
      <c r="B82" t="s">
        <v>10</v>
      </c>
      <c r="C82" t="s">
        <v>14</v>
      </c>
      <c r="D82">
        <v>50</v>
      </c>
      <c r="E82" t="s">
        <v>21</v>
      </c>
      <c r="F82" s="1">
        <v>43016</v>
      </c>
      <c r="G82">
        <v>8475</v>
      </c>
      <c r="H82">
        <v>5</v>
      </c>
      <c r="I82">
        <v>7</v>
      </c>
      <c r="K82" t="str">
        <f t="shared" si="6"/>
        <v/>
      </c>
      <c r="L82" t="str">
        <f t="shared" si="7"/>
        <v>Active</v>
      </c>
      <c r="M82">
        <f t="shared" ca="1" si="8"/>
        <v>2965</v>
      </c>
      <c r="N82" t="str">
        <f t="shared" si="9"/>
        <v>50+</v>
      </c>
      <c r="O82" t="str">
        <f t="shared" si="10"/>
        <v/>
      </c>
    </row>
    <row r="83" spans="1:15" x14ac:dyDescent="0.35">
      <c r="A83">
        <v>1082</v>
      </c>
      <c r="B83" t="s">
        <v>19</v>
      </c>
      <c r="C83" t="s">
        <v>11</v>
      </c>
      <c r="D83">
        <v>31</v>
      </c>
      <c r="E83" t="s">
        <v>21</v>
      </c>
      <c r="F83" s="1">
        <v>43043</v>
      </c>
      <c r="G83">
        <v>3640</v>
      </c>
      <c r="H83">
        <v>5</v>
      </c>
      <c r="I83">
        <v>19</v>
      </c>
      <c r="K83" t="str">
        <f t="shared" si="6"/>
        <v/>
      </c>
      <c r="L83" t="str">
        <f t="shared" si="7"/>
        <v>Active</v>
      </c>
      <c r="M83">
        <f t="shared" ca="1" si="8"/>
        <v>2938</v>
      </c>
      <c r="N83" t="str">
        <f t="shared" si="9"/>
        <v>30-39</v>
      </c>
      <c r="O83" t="str">
        <f t="shared" si="10"/>
        <v/>
      </c>
    </row>
    <row r="84" spans="1:15" x14ac:dyDescent="0.35">
      <c r="A84">
        <v>1083</v>
      </c>
      <c r="B84" t="s">
        <v>17</v>
      </c>
      <c r="C84" t="s">
        <v>14</v>
      </c>
      <c r="D84">
        <v>33</v>
      </c>
      <c r="E84" t="s">
        <v>12</v>
      </c>
      <c r="F84" s="1">
        <v>42362</v>
      </c>
      <c r="G84">
        <v>8732</v>
      </c>
      <c r="H84">
        <v>4</v>
      </c>
      <c r="I84">
        <v>12</v>
      </c>
      <c r="K84" t="str">
        <f t="shared" si="6"/>
        <v/>
      </c>
      <c r="L84" t="str">
        <f t="shared" si="7"/>
        <v>Active</v>
      </c>
      <c r="M84">
        <f t="shared" ca="1" si="8"/>
        <v>3619</v>
      </c>
      <c r="N84" t="str">
        <f t="shared" si="9"/>
        <v>30-39</v>
      </c>
      <c r="O84" t="str">
        <f t="shared" si="10"/>
        <v/>
      </c>
    </row>
    <row r="85" spans="1:15" x14ac:dyDescent="0.35">
      <c r="A85">
        <v>1084</v>
      </c>
      <c r="B85" t="s">
        <v>10</v>
      </c>
      <c r="C85" t="s">
        <v>14</v>
      </c>
      <c r="D85">
        <v>51</v>
      </c>
      <c r="E85" t="s">
        <v>18</v>
      </c>
      <c r="F85" s="1">
        <v>43824</v>
      </c>
      <c r="G85">
        <v>8147</v>
      </c>
      <c r="H85">
        <v>5</v>
      </c>
      <c r="I85">
        <v>16</v>
      </c>
      <c r="K85" t="str">
        <f t="shared" si="6"/>
        <v/>
      </c>
      <c r="L85" t="str">
        <f t="shared" si="7"/>
        <v>Active</v>
      </c>
      <c r="M85">
        <f t="shared" ca="1" si="8"/>
        <v>2157</v>
      </c>
      <c r="N85" t="str">
        <f t="shared" si="9"/>
        <v>50+</v>
      </c>
      <c r="O85" t="str">
        <f t="shared" si="10"/>
        <v/>
      </c>
    </row>
    <row r="86" spans="1:15" x14ac:dyDescent="0.35">
      <c r="A86">
        <v>1085</v>
      </c>
      <c r="B86" t="s">
        <v>19</v>
      </c>
      <c r="C86" t="s">
        <v>14</v>
      </c>
      <c r="D86">
        <v>22</v>
      </c>
      <c r="E86" t="s">
        <v>21</v>
      </c>
      <c r="F86" s="1">
        <v>44230</v>
      </c>
      <c r="G86">
        <v>4519</v>
      </c>
      <c r="H86">
        <v>3</v>
      </c>
      <c r="I86">
        <v>16</v>
      </c>
      <c r="K86" t="str">
        <f t="shared" si="6"/>
        <v/>
      </c>
      <c r="L86" t="str">
        <f t="shared" si="7"/>
        <v>Active</v>
      </c>
      <c r="M86">
        <f t="shared" ca="1" si="8"/>
        <v>1751</v>
      </c>
      <c r="N86" t="str">
        <f t="shared" si="9"/>
        <v>Under 30</v>
      </c>
      <c r="O86" t="str">
        <f t="shared" si="10"/>
        <v/>
      </c>
    </row>
    <row r="87" spans="1:15" x14ac:dyDescent="0.35">
      <c r="A87">
        <v>1086</v>
      </c>
      <c r="B87" t="s">
        <v>13</v>
      </c>
      <c r="C87" t="s">
        <v>14</v>
      </c>
      <c r="D87">
        <v>26</v>
      </c>
      <c r="E87" t="s">
        <v>12</v>
      </c>
      <c r="F87" s="1">
        <v>44988</v>
      </c>
      <c r="G87">
        <v>8538</v>
      </c>
      <c r="H87">
        <v>4</v>
      </c>
      <c r="I87">
        <v>16</v>
      </c>
      <c r="K87" t="str">
        <f t="shared" si="6"/>
        <v/>
      </c>
      <c r="L87" t="str">
        <f t="shared" si="7"/>
        <v>Active</v>
      </c>
      <c r="M87">
        <f t="shared" ca="1" si="8"/>
        <v>993</v>
      </c>
      <c r="N87" t="str">
        <f t="shared" si="9"/>
        <v>Under 30</v>
      </c>
      <c r="O87" t="str">
        <f t="shared" si="10"/>
        <v/>
      </c>
    </row>
    <row r="88" spans="1:15" x14ac:dyDescent="0.35">
      <c r="A88">
        <v>1087</v>
      </c>
      <c r="B88" t="s">
        <v>16</v>
      </c>
      <c r="C88" t="s">
        <v>11</v>
      </c>
      <c r="D88">
        <v>41</v>
      </c>
      <c r="E88" t="s">
        <v>12</v>
      </c>
      <c r="F88" s="1">
        <v>44254</v>
      </c>
      <c r="G88">
        <v>5443</v>
      </c>
      <c r="H88">
        <v>1</v>
      </c>
      <c r="I88">
        <v>0</v>
      </c>
      <c r="K88" t="str">
        <f t="shared" si="6"/>
        <v/>
      </c>
      <c r="L88" t="str">
        <f t="shared" si="7"/>
        <v>Active</v>
      </c>
      <c r="M88">
        <f t="shared" ca="1" si="8"/>
        <v>1727</v>
      </c>
      <c r="N88" t="str">
        <f t="shared" si="9"/>
        <v>40-49</v>
      </c>
      <c r="O88" t="str">
        <f t="shared" si="10"/>
        <v/>
      </c>
    </row>
    <row r="89" spans="1:15" x14ac:dyDescent="0.35">
      <c r="A89">
        <v>1088</v>
      </c>
      <c r="B89" t="s">
        <v>15</v>
      </c>
      <c r="C89" t="s">
        <v>11</v>
      </c>
      <c r="D89">
        <v>29</v>
      </c>
      <c r="E89" t="s">
        <v>12</v>
      </c>
      <c r="F89" s="1">
        <v>45003</v>
      </c>
      <c r="G89">
        <v>5097</v>
      </c>
      <c r="H89">
        <v>5</v>
      </c>
      <c r="I89">
        <v>7</v>
      </c>
      <c r="K89" t="str">
        <f t="shared" si="6"/>
        <v/>
      </c>
      <c r="L89" t="str">
        <f t="shared" si="7"/>
        <v>Active</v>
      </c>
      <c r="M89">
        <f t="shared" ca="1" si="8"/>
        <v>978</v>
      </c>
      <c r="N89" t="str">
        <f t="shared" si="9"/>
        <v>Under 30</v>
      </c>
      <c r="O89" t="str">
        <f t="shared" si="10"/>
        <v/>
      </c>
    </row>
    <row r="90" spans="1:15" x14ac:dyDescent="0.35">
      <c r="A90">
        <v>1089</v>
      </c>
      <c r="B90" t="s">
        <v>13</v>
      </c>
      <c r="C90" t="s">
        <v>14</v>
      </c>
      <c r="D90">
        <v>33</v>
      </c>
      <c r="E90" t="s">
        <v>12</v>
      </c>
      <c r="F90" s="1">
        <v>44768</v>
      </c>
      <c r="G90">
        <v>3674</v>
      </c>
      <c r="H90">
        <v>5</v>
      </c>
      <c r="I90">
        <v>18</v>
      </c>
      <c r="J90" s="1">
        <v>46274</v>
      </c>
      <c r="K90">
        <f t="shared" si="6"/>
        <v>46274</v>
      </c>
      <c r="L90" t="str">
        <f t="shared" si="7"/>
        <v>Exited</v>
      </c>
      <c r="M90">
        <f t="shared" ca="1" si="8"/>
        <v>1506</v>
      </c>
      <c r="N90" t="str">
        <f t="shared" si="9"/>
        <v>30-39</v>
      </c>
      <c r="O90" t="str">
        <f t="shared" si="10"/>
        <v/>
      </c>
    </row>
    <row r="91" spans="1:15" x14ac:dyDescent="0.35">
      <c r="A91">
        <v>1090</v>
      </c>
      <c r="B91" t="s">
        <v>19</v>
      </c>
      <c r="C91" t="s">
        <v>14</v>
      </c>
      <c r="D91">
        <v>22</v>
      </c>
      <c r="E91" t="s">
        <v>12</v>
      </c>
      <c r="F91" s="1">
        <v>42388</v>
      </c>
      <c r="G91">
        <v>8360</v>
      </c>
      <c r="H91">
        <v>1</v>
      </c>
      <c r="I91">
        <v>5</v>
      </c>
      <c r="K91" t="str">
        <f t="shared" si="6"/>
        <v/>
      </c>
      <c r="L91" t="str">
        <f t="shared" si="7"/>
        <v>Active</v>
      </c>
      <c r="M91">
        <f t="shared" ca="1" si="8"/>
        <v>3593</v>
      </c>
      <c r="N91" t="str">
        <f t="shared" si="9"/>
        <v>Under 30</v>
      </c>
      <c r="O91" t="str">
        <f t="shared" si="10"/>
        <v/>
      </c>
    </row>
    <row r="92" spans="1:15" x14ac:dyDescent="0.35">
      <c r="A92">
        <v>1091</v>
      </c>
      <c r="B92" t="s">
        <v>13</v>
      </c>
      <c r="C92" t="s">
        <v>14</v>
      </c>
      <c r="D92">
        <v>41</v>
      </c>
      <c r="E92" t="s">
        <v>12</v>
      </c>
      <c r="F92" s="1">
        <v>42296</v>
      </c>
      <c r="G92">
        <v>9139</v>
      </c>
      <c r="H92">
        <v>5</v>
      </c>
      <c r="I92">
        <v>2</v>
      </c>
      <c r="K92" t="str">
        <f t="shared" si="6"/>
        <v/>
      </c>
      <c r="L92" t="str">
        <f t="shared" si="7"/>
        <v>Active</v>
      </c>
      <c r="M92">
        <f t="shared" ca="1" si="8"/>
        <v>3685</v>
      </c>
      <c r="N92" t="str">
        <f t="shared" si="9"/>
        <v>40-49</v>
      </c>
      <c r="O92" t="str">
        <f t="shared" si="10"/>
        <v/>
      </c>
    </row>
    <row r="93" spans="1:15" x14ac:dyDescent="0.35">
      <c r="A93">
        <v>1092</v>
      </c>
      <c r="B93" t="s">
        <v>16</v>
      </c>
      <c r="C93" t="s">
        <v>11</v>
      </c>
      <c r="D93">
        <v>49</v>
      </c>
      <c r="E93" t="s">
        <v>21</v>
      </c>
      <c r="F93" s="1">
        <v>44429</v>
      </c>
      <c r="G93">
        <v>3489</v>
      </c>
      <c r="H93">
        <v>1</v>
      </c>
      <c r="I93">
        <v>4</v>
      </c>
      <c r="J93" s="1">
        <v>44701</v>
      </c>
      <c r="K93">
        <f t="shared" si="6"/>
        <v>44701</v>
      </c>
      <c r="L93" t="str">
        <f t="shared" si="7"/>
        <v>Exited</v>
      </c>
      <c r="M93">
        <f t="shared" ca="1" si="8"/>
        <v>272</v>
      </c>
      <c r="N93" t="str">
        <f t="shared" si="9"/>
        <v>40-49</v>
      </c>
      <c r="O93" t="str">
        <f t="shared" si="10"/>
        <v/>
      </c>
    </row>
    <row r="94" spans="1:15" x14ac:dyDescent="0.35">
      <c r="A94">
        <v>1093</v>
      </c>
      <c r="B94" t="s">
        <v>19</v>
      </c>
      <c r="C94" t="s">
        <v>11</v>
      </c>
      <c r="D94">
        <v>58</v>
      </c>
      <c r="E94" t="s">
        <v>12</v>
      </c>
      <c r="F94" s="1">
        <v>44474</v>
      </c>
      <c r="G94">
        <v>6800</v>
      </c>
      <c r="H94">
        <v>4</v>
      </c>
      <c r="I94">
        <v>12</v>
      </c>
      <c r="K94" t="str">
        <f t="shared" si="6"/>
        <v/>
      </c>
      <c r="L94" t="str">
        <f t="shared" si="7"/>
        <v>Active</v>
      </c>
      <c r="M94">
        <f t="shared" ca="1" si="8"/>
        <v>1507</v>
      </c>
      <c r="N94" t="str">
        <f t="shared" si="9"/>
        <v>50+</v>
      </c>
      <c r="O94" t="str">
        <f t="shared" si="10"/>
        <v/>
      </c>
    </row>
    <row r="95" spans="1:15" x14ac:dyDescent="0.35">
      <c r="A95">
        <v>1094</v>
      </c>
      <c r="B95" t="s">
        <v>13</v>
      </c>
      <c r="C95" t="s">
        <v>11</v>
      </c>
      <c r="D95">
        <v>58</v>
      </c>
      <c r="E95" t="s">
        <v>12</v>
      </c>
      <c r="F95" s="1">
        <v>44852</v>
      </c>
      <c r="G95">
        <v>8906</v>
      </c>
      <c r="H95">
        <v>3</v>
      </c>
      <c r="I95">
        <v>14</v>
      </c>
      <c r="K95" t="str">
        <f t="shared" si="6"/>
        <v/>
      </c>
      <c r="L95" t="str">
        <f t="shared" si="7"/>
        <v>Active</v>
      </c>
      <c r="M95">
        <f t="shared" ca="1" si="8"/>
        <v>1129</v>
      </c>
      <c r="N95" t="str">
        <f t="shared" si="9"/>
        <v>50+</v>
      </c>
      <c r="O95" t="str">
        <f t="shared" si="10"/>
        <v/>
      </c>
    </row>
    <row r="96" spans="1:15" x14ac:dyDescent="0.35">
      <c r="A96">
        <v>1095</v>
      </c>
      <c r="B96" t="s">
        <v>15</v>
      </c>
      <c r="C96" t="s">
        <v>14</v>
      </c>
      <c r="D96">
        <v>33</v>
      </c>
      <c r="E96" t="s">
        <v>21</v>
      </c>
      <c r="F96" s="1">
        <v>43766</v>
      </c>
      <c r="G96">
        <v>5941</v>
      </c>
      <c r="H96">
        <v>1</v>
      </c>
      <c r="I96">
        <v>13</v>
      </c>
      <c r="K96" t="str">
        <f t="shared" si="6"/>
        <v/>
      </c>
      <c r="L96" t="str">
        <f t="shared" si="7"/>
        <v>Active</v>
      </c>
      <c r="M96">
        <f t="shared" ca="1" si="8"/>
        <v>2215</v>
      </c>
      <c r="N96" t="str">
        <f t="shared" si="9"/>
        <v>30-39</v>
      </c>
      <c r="O96" t="str">
        <f t="shared" si="10"/>
        <v/>
      </c>
    </row>
    <row r="97" spans="1:15" x14ac:dyDescent="0.35">
      <c r="A97">
        <v>1096</v>
      </c>
      <c r="B97" t="s">
        <v>15</v>
      </c>
      <c r="C97" t="s">
        <v>11</v>
      </c>
      <c r="D97">
        <v>58</v>
      </c>
      <c r="E97" t="s">
        <v>21</v>
      </c>
      <c r="F97" s="1">
        <v>42776</v>
      </c>
      <c r="G97">
        <v>4222</v>
      </c>
      <c r="H97">
        <v>2</v>
      </c>
      <c r="I97">
        <v>15</v>
      </c>
      <c r="K97" t="str">
        <f t="shared" si="6"/>
        <v/>
      </c>
      <c r="L97" t="str">
        <f t="shared" si="7"/>
        <v>Active</v>
      </c>
      <c r="M97">
        <f t="shared" ca="1" si="8"/>
        <v>3205</v>
      </c>
      <c r="N97" t="str">
        <f t="shared" si="9"/>
        <v>50+</v>
      </c>
      <c r="O97" t="str">
        <f t="shared" si="10"/>
        <v/>
      </c>
    </row>
    <row r="98" spans="1:15" x14ac:dyDescent="0.35">
      <c r="A98">
        <v>1097</v>
      </c>
      <c r="B98" t="s">
        <v>10</v>
      </c>
      <c r="C98" t="s">
        <v>14</v>
      </c>
      <c r="D98">
        <v>49</v>
      </c>
      <c r="E98" t="s">
        <v>12</v>
      </c>
      <c r="F98" s="1">
        <v>44642</v>
      </c>
      <c r="G98">
        <v>8897</v>
      </c>
      <c r="H98">
        <v>1</v>
      </c>
      <c r="I98">
        <v>17</v>
      </c>
      <c r="K98" t="str">
        <f t="shared" si="6"/>
        <v/>
      </c>
      <c r="L98" t="str">
        <f t="shared" si="7"/>
        <v>Active</v>
      </c>
      <c r="M98">
        <f t="shared" ca="1" si="8"/>
        <v>1339</v>
      </c>
      <c r="N98" t="str">
        <f t="shared" si="9"/>
        <v>40-49</v>
      </c>
      <c r="O98" t="str">
        <f t="shared" si="10"/>
        <v/>
      </c>
    </row>
    <row r="99" spans="1:15" x14ac:dyDescent="0.35">
      <c r="A99">
        <v>1098</v>
      </c>
      <c r="B99" t="s">
        <v>13</v>
      </c>
      <c r="C99" t="s">
        <v>14</v>
      </c>
      <c r="D99">
        <v>36</v>
      </c>
      <c r="E99" t="s">
        <v>21</v>
      </c>
      <c r="F99" s="1">
        <v>44095</v>
      </c>
      <c r="G99">
        <v>3471</v>
      </c>
      <c r="H99">
        <v>5</v>
      </c>
      <c r="I99">
        <v>10</v>
      </c>
      <c r="K99" t="str">
        <f t="shared" si="6"/>
        <v/>
      </c>
      <c r="L99" t="str">
        <f t="shared" si="7"/>
        <v>Active</v>
      </c>
      <c r="M99">
        <f t="shared" ca="1" si="8"/>
        <v>1886</v>
      </c>
      <c r="N99" t="str">
        <f t="shared" si="9"/>
        <v>30-39</v>
      </c>
      <c r="O99" t="str">
        <f t="shared" si="10"/>
        <v/>
      </c>
    </row>
    <row r="100" spans="1:15" x14ac:dyDescent="0.35">
      <c r="A100">
        <v>1099</v>
      </c>
      <c r="B100" t="s">
        <v>17</v>
      </c>
      <c r="C100" t="s">
        <v>14</v>
      </c>
      <c r="D100">
        <v>27</v>
      </c>
      <c r="E100" t="s">
        <v>12</v>
      </c>
      <c r="F100" s="1">
        <v>42922</v>
      </c>
      <c r="G100">
        <v>3971</v>
      </c>
      <c r="H100">
        <v>4</v>
      </c>
      <c r="I100">
        <v>2</v>
      </c>
      <c r="K100" t="str">
        <f t="shared" si="6"/>
        <v/>
      </c>
      <c r="L100" t="str">
        <f t="shared" si="7"/>
        <v>Active</v>
      </c>
      <c r="M100">
        <f t="shared" ca="1" si="8"/>
        <v>3059</v>
      </c>
      <c r="N100" t="str">
        <f t="shared" si="9"/>
        <v>Under 30</v>
      </c>
      <c r="O100" t="str">
        <f t="shared" si="10"/>
        <v/>
      </c>
    </row>
    <row r="101" spans="1:15" x14ac:dyDescent="0.35">
      <c r="A101">
        <v>1100</v>
      </c>
      <c r="B101" t="s">
        <v>13</v>
      </c>
      <c r="C101" t="s">
        <v>14</v>
      </c>
      <c r="D101">
        <v>41</v>
      </c>
      <c r="E101" t="s">
        <v>12</v>
      </c>
      <c r="F101" s="1">
        <v>42095</v>
      </c>
      <c r="G101">
        <v>8391</v>
      </c>
      <c r="H101">
        <v>4</v>
      </c>
      <c r="I101">
        <v>9</v>
      </c>
      <c r="J101" s="1">
        <v>42775</v>
      </c>
      <c r="K101">
        <f t="shared" si="6"/>
        <v>42775</v>
      </c>
      <c r="L101" t="str">
        <f t="shared" si="7"/>
        <v>Exited</v>
      </c>
      <c r="M101">
        <f t="shared" ca="1" si="8"/>
        <v>680</v>
      </c>
      <c r="N101" t="str">
        <f t="shared" si="9"/>
        <v>40-49</v>
      </c>
      <c r="O101" t="str">
        <f t="shared" si="10"/>
        <v/>
      </c>
    </row>
    <row r="102" spans="1:15" x14ac:dyDescent="0.35">
      <c r="A102">
        <v>1101</v>
      </c>
      <c r="B102" t="s">
        <v>19</v>
      </c>
      <c r="C102" t="s">
        <v>11</v>
      </c>
      <c r="D102">
        <v>35</v>
      </c>
      <c r="E102" t="s">
        <v>12</v>
      </c>
      <c r="F102" s="1">
        <v>43013</v>
      </c>
      <c r="G102">
        <v>6526</v>
      </c>
      <c r="H102">
        <v>1</v>
      </c>
      <c r="I102">
        <v>9</v>
      </c>
      <c r="K102" t="str">
        <f t="shared" si="6"/>
        <v/>
      </c>
      <c r="L102" t="str">
        <f t="shared" si="7"/>
        <v>Active</v>
      </c>
      <c r="M102">
        <f t="shared" ca="1" si="8"/>
        <v>2968</v>
      </c>
      <c r="N102" t="str">
        <f t="shared" si="9"/>
        <v>30-39</v>
      </c>
      <c r="O102" t="str">
        <f t="shared" si="10"/>
        <v/>
      </c>
    </row>
    <row r="103" spans="1:15" x14ac:dyDescent="0.35">
      <c r="A103">
        <v>1102</v>
      </c>
      <c r="B103" t="s">
        <v>19</v>
      </c>
      <c r="C103" t="s">
        <v>11</v>
      </c>
      <c r="D103">
        <v>23</v>
      </c>
      <c r="E103" t="s">
        <v>12</v>
      </c>
      <c r="F103" s="1">
        <v>43594</v>
      </c>
      <c r="G103">
        <v>3743</v>
      </c>
      <c r="H103">
        <v>3</v>
      </c>
      <c r="I103">
        <v>20</v>
      </c>
      <c r="K103" t="str">
        <f t="shared" si="6"/>
        <v/>
      </c>
      <c r="L103" t="str">
        <f t="shared" si="7"/>
        <v>Active</v>
      </c>
      <c r="M103">
        <f t="shared" ca="1" si="8"/>
        <v>2387</v>
      </c>
      <c r="N103" t="str">
        <f t="shared" si="9"/>
        <v>Under 30</v>
      </c>
      <c r="O103" t="str">
        <f t="shared" si="10"/>
        <v/>
      </c>
    </row>
    <row r="104" spans="1:15" x14ac:dyDescent="0.35">
      <c r="A104">
        <v>1103</v>
      </c>
      <c r="B104" t="s">
        <v>13</v>
      </c>
      <c r="C104" t="s">
        <v>14</v>
      </c>
      <c r="D104">
        <v>30</v>
      </c>
      <c r="E104" t="s">
        <v>12</v>
      </c>
      <c r="F104" s="1">
        <v>42778</v>
      </c>
      <c r="G104">
        <v>9142</v>
      </c>
      <c r="H104">
        <v>2</v>
      </c>
      <c r="I104">
        <v>15</v>
      </c>
      <c r="K104" t="str">
        <f t="shared" si="6"/>
        <v/>
      </c>
      <c r="L104" t="str">
        <f t="shared" si="7"/>
        <v>Active</v>
      </c>
      <c r="M104">
        <f t="shared" ca="1" si="8"/>
        <v>3203</v>
      </c>
      <c r="N104" t="str">
        <f t="shared" si="9"/>
        <v>30-39</v>
      </c>
      <c r="O104" t="str">
        <f t="shared" si="10"/>
        <v/>
      </c>
    </row>
    <row r="105" spans="1:15" x14ac:dyDescent="0.35">
      <c r="A105">
        <v>1104</v>
      </c>
      <c r="B105" t="s">
        <v>16</v>
      </c>
      <c r="C105" t="s">
        <v>11</v>
      </c>
      <c r="D105">
        <v>58</v>
      </c>
      <c r="E105" t="s">
        <v>12</v>
      </c>
      <c r="F105" s="1">
        <v>42334</v>
      </c>
      <c r="G105">
        <v>4249</v>
      </c>
      <c r="H105">
        <v>4</v>
      </c>
      <c r="I105">
        <v>11</v>
      </c>
      <c r="K105" t="str">
        <f t="shared" si="6"/>
        <v/>
      </c>
      <c r="L105" t="str">
        <f t="shared" si="7"/>
        <v>Active</v>
      </c>
      <c r="M105">
        <f t="shared" ca="1" si="8"/>
        <v>3647</v>
      </c>
      <c r="N105" t="str">
        <f t="shared" si="9"/>
        <v>50+</v>
      </c>
      <c r="O105" t="str">
        <f t="shared" si="10"/>
        <v/>
      </c>
    </row>
    <row r="106" spans="1:15" x14ac:dyDescent="0.35">
      <c r="A106">
        <v>1105</v>
      </c>
      <c r="B106" t="s">
        <v>15</v>
      </c>
      <c r="C106" t="s">
        <v>20</v>
      </c>
      <c r="D106">
        <v>41</v>
      </c>
      <c r="E106" t="s">
        <v>12</v>
      </c>
      <c r="F106" s="1">
        <v>43691</v>
      </c>
      <c r="G106">
        <v>6537</v>
      </c>
      <c r="H106">
        <v>5</v>
      </c>
      <c r="I106">
        <v>1</v>
      </c>
      <c r="K106" t="str">
        <f t="shared" si="6"/>
        <v/>
      </c>
      <c r="L106" t="str">
        <f t="shared" si="7"/>
        <v>Active</v>
      </c>
      <c r="M106">
        <f t="shared" ca="1" si="8"/>
        <v>2290</v>
      </c>
      <c r="N106" t="str">
        <f t="shared" si="9"/>
        <v>40-49</v>
      </c>
      <c r="O106" t="str">
        <f t="shared" si="10"/>
        <v/>
      </c>
    </row>
    <row r="107" spans="1:15" x14ac:dyDescent="0.35">
      <c r="A107">
        <v>1106</v>
      </c>
      <c r="B107" t="s">
        <v>19</v>
      </c>
      <c r="C107" t="s">
        <v>11</v>
      </c>
      <c r="D107">
        <v>47</v>
      </c>
      <c r="E107" t="s">
        <v>12</v>
      </c>
      <c r="F107" s="1">
        <v>44288</v>
      </c>
      <c r="G107">
        <v>5339</v>
      </c>
      <c r="H107">
        <v>5</v>
      </c>
      <c r="I107">
        <v>8</v>
      </c>
      <c r="J107" s="1">
        <v>45863</v>
      </c>
      <c r="K107">
        <f t="shared" si="6"/>
        <v>45863</v>
      </c>
      <c r="L107" t="str">
        <f t="shared" si="7"/>
        <v>Exited</v>
      </c>
      <c r="M107">
        <f t="shared" ca="1" si="8"/>
        <v>1575</v>
      </c>
      <c r="N107" t="str">
        <f t="shared" si="9"/>
        <v>40-49</v>
      </c>
      <c r="O107" t="str">
        <f t="shared" si="10"/>
        <v/>
      </c>
    </row>
    <row r="108" spans="1:15" x14ac:dyDescent="0.35">
      <c r="A108">
        <v>1107</v>
      </c>
      <c r="B108" t="s">
        <v>15</v>
      </c>
      <c r="C108" t="s">
        <v>11</v>
      </c>
      <c r="D108">
        <v>50</v>
      </c>
      <c r="E108" t="s">
        <v>12</v>
      </c>
      <c r="F108" s="1">
        <v>44456</v>
      </c>
      <c r="G108">
        <v>6759</v>
      </c>
      <c r="H108">
        <v>3</v>
      </c>
      <c r="I108">
        <v>2</v>
      </c>
      <c r="K108" t="str">
        <f t="shared" si="6"/>
        <v/>
      </c>
      <c r="L108" t="str">
        <f t="shared" si="7"/>
        <v>Active</v>
      </c>
      <c r="M108">
        <f t="shared" ca="1" si="8"/>
        <v>1525</v>
      </c>
      <c r="N108" t="str">
        <f t="shared" si="9"/>
        <v>50+</v>
      </c>
      <c r="O108" t="str">
        <f t="shared" si="10"/>
        <v/>
      </c>
    </row>
    <row r="109" spans="1:15" x14ac:dyDescent="0.35">
      <c r="A109">
        <v>1108</v>
      </c>
      <c r="B109" t="s">
        <v>19</v>
      </c>
      <c r="C109" t="s">
        <v>11</v>
      </c>
      <c r="D109">
        <v>22</v>
      </c>
      <c r="E109" t="s">
        <v>21</v>
      </c>
      <c r="F109" s="1">
        <v>45060</v>
      </c>
      <c r="G109">
        <v>7791</v>
      </c>
      <c r="H109">
        <v>4</v>
      </c>
      <c r="I109">
        <v>14</v>
      </c>
      <c r="K109" t="str">
        <f t="shared" si="6"/>
        <v/>
      </c>
      <c r="L109" t="str">
        <f t="shared" si="7"/>
        <v>Active</v>
      </c>
      <c r="M109">
        <f t="shared" ca="1" si="8"/>
        <v>921</v>
      </c>
      <c r="N109" t="str">
        <f t="shared" si="9"/>
        <v>Under 30</v>
      </c>
      <c r="O109" t="str">
        <f t="shared" si="10"/>
        <v/>
      </c>
    </row>
    <row r="110" spans="1:15" x14ac:dyDescent="0.35">
      <c r="A110">
        <v>1109</v>
      </c>
      <c r="B110" t="s">
        <v>10</v>
      </c>
      <c r="C110" t="s">
        <v>20</v>
      </c>
      <c r="D110">
        <v>56</v>
      </c>
      <c r="E110" t="s">
        <v>12</v>
      </c>
      <c r="F110" s="1">
        <v>43004</v>
      </c>
      <c r="G110">
        <v>9085</v>
      </c>
      <c r="H110">
        <v>1</v>
      </c>
      <c r="I110">
        <v>2</v>
      </c>
      <c r="K110" t="str">
        <f t="shared" si="6"/>
        <v/>
      </c>
      <c r="L110" t="str">
        <f t="shared" si="7"/>
        <v>Active</v>
      </c>
      <c r="M110">
        <f t="shared" ca="1" si="8"/>
        <v>2977</v>
      </c>
      <c r="N110" t="str">
        <f t="shared" si="9"/>
        <v>50+</v>
      </c>
      <c r="O110" t="str">
        <f t="shared" si="10"/>
        <v/>
      </c>
    </row>
    <row r="111" spans="1:15" x14ac:dyDescent="0.35">
      <c r="A111">
        <v>1110</v>
      </c>
      <c r="B111" t="s">
        <v>17</v>
      </c>
      <c r="C111" t="s">
        <v>11</v>
      </c>
      <c r="D111">
        <v>27</v>
      </c>
      <c r="E111" t="s">
        <v>12</v>
      </c>
      <c r="F111" s="1">
        <v>44299</v>
      </c>
      <c r="G111">
        <v>8232</v>
      </c>
      <c r="H111">
        <v>5</v>
      </c>
      <c r="I111">
        <v>18</v>
      </c>
      <c r="J111" s="1">
        <v>45058</v>
      </c>
      <c r="K111">
        <f t="shared" si="6"/>
        <v>45058</v>
      </c>
      <c r="L111" t="str">
        <f t="shared" si="7"/>
        <v>Exited</v>
      </c>
      <c r="M111">
        <f t="shared" ca="1" si="8"/>
        <v>759</v>
      </c>
      <c r="N111" t="str">
        <f t="shared" si="9"/>
        <v>Under 30</v>
      </c>
      <c r="O111" t="str">
        <f t="shared" si="10"/>
        <v/>
      </c>
    </row>
    <row r="112" spans="1:15" x14ac:dyDescent="0.35">
      <c r="A112">
        <v>1111</v>
      </c>
      <c r="B112" t="s">
        <v>19</v>
      </c>
      <c r="C112" t="s">
        <v>14</v>
      </c>
      <c r="D112">
        <v>58</v>
      </c>
      <c r="E112" t="s">
        <v>12</v>
      </c>
      <c r="F112" s="1">
        <v>42304</v>
      </c>
      <c r="G112">
        <v>7060</v>
      </c>
      <c r="H112">
        <v>3</v>
      </c>
      <c r="I112">
        <v>17</v>
      </c>
      <c r="J112" s="1">
        <v>43853</v>
      </c>
      <c r="K112">
        <f t="shared" si="6"/>
        <v>43853</v>
      </c>
      <c r="L112" t="str">
        <f t="shared" si="7"/>
        <v>Exited</v>
      </c>
      <c r="M112">
        <f t="shared" ca="1" si="8"/>
        <v>1549</v>
      </c>
      <c r="N112" t="str">
        <f t="shared" si="9"/>
        <v>50+</v>
      </c>
      <c r="O112" t="str">
        <f t="shared" si="10"/>
        <v/>
      </c>
    </row>
    <row r="113" spans="1:15" x14ac:dyDescent="0.35">
      <c r="A113">
        <v>1112</v>
      </c>
      <c r="B113" t="s">
        <v>15</v>
      </c>
      <c r="C113" t="s">
        <v>14</v>
      </c>
      <c r="D113">
        <v>26</v>
      </c>
      <c r="E113" t="s">
        <v>12</v>
      </c>
      <c r="F113" s="1">
        <v>43229</v>
      </c>
      <c r="G113">
        <v>5161</v>
      </c>
      <c r="H113">
        <v>4</v>
      </c>
      <c r="I113">
        <v>7</v>
      </c>
      <c r="K113" t="str">
        <f t="shared" si="6"/>
        <v/>
      </c>
      <c r="L113" t="str">
        <f t="shared" si="7"/>
        <v>Active</v>
      </c>
      <c r="M113">
        <f t="shared" ca="1" si="8"/>
        <v>2752</v>
      </c>
      <c r="N113" t="str">
        <f t="shared" si="9"/>
        <v>Under 30</v>
      </c>
      <c r="O113" t="str">
        <f t="shared" si="10"/>
        <v/>
      </c>
    </row>
    <row r="114" spans="1:15" x14ac:dyDescent="0.35">
      <c r="A114">
        <v>1113</v>
      </c>
      <c r="B114" t="s">
        <v>10</v>
      </c>
      <c r="C114" t="s">
        <v>11</v>
      </c>
      <c r="D114">
        <v>54</v>
      </c>
      <c r="E114" t="s">
        <v>12</v>
      </c>
      <c r="F114" s="1">
        <v>43369</v>
      </c>
      <c r="G114">
        <v>8964</v>
      </c>
      <c r="H114">
        <v>4</v>
      </c>
      <c r="I114">
        <v>16</v>
      </c>
      <c r="K114" t="str">
        <f t="shared" si="6"/>
        <v/>
      </c>
      <c r="L114" t="str">
        <f t="shared" si="7"/>
        <v>Active</v>
      </c>
      <c r="M114">
        <f t="shared" ca="1" si="8"/>
        <v>2612</v>
      </c>
      <c r="N114" t="str">
        <f t="shared" si="9"/>
        <v>50+</v>
      </c>
      <c r="O114" t="str">
        <f t="shared" si="10"/>
        <v/>
      </c>
    </row>
    <row r="115" spans="1:15" x14ac:dyDescent="0.35">
      <c r="A115">
        <v>1114</v>
      </c>
      <c r="B115" t="s">
        <v>19</v>
      </c>
      <c r="C115" t="s">
        <v>14</v>
      </c>
      <c r="D115">
        <v>35</v>
      </c>
      <c r="E115" t="s">
        <v>21</v>
      </c>
      <c r="F115" s="1">
        <v>43702</v>
      </c>
      <c r="G115">
        <v>8001</v>
      </c>
      <c r="H115">
        <v>4</v>
      </c>
      <c r="I115">
        <v>7</v>
      </c>
      <c r="K115" t="str">
        <f t="shared" si="6"/>
        <v/>
      </c>
      <c r="L115" t="str">
        <f t="shared" si="7"/>
        <v>Active</v>
      </c>
      <c r="M115">
        <f t="shared" ca="1" si="8"/>
        <v>2279</v>
      </c>
      <c r="N115" t="str">
        <f t="shared" si="9"/>
        <v>30-39</v>
      </c>
      <c r="O115" t="str">
        <f t="shared" si="10"/>
        <v/>
      </c>
    </row>
    <row r="116" spans="1:15" x14ac:dyDescent="0.35">
      <c r="A116">
        <v>1115</v>
      </c>
      <c r="B116" t="s">
        <v>16</v>
      </c>
      <c r="C116" t="s">
        <v>11</v>
      </c>
      <c r="D116">
        <v>33</v>
      </c>
      <c r="E116" t="s">
        <v>12</v>
      </c>
      <c r="F116" s="1">
        <v>44270</v>
      </c>
      <c r="G116">
        <v>6452</v>
      </c>
      <c r="H116">
        <v>4</v>
      </c>
      <c r="I116">
        <v>6</v>
      </c>
      <c r="K116" t="str">
        <f t="shared" si="6"/>
        <v/>
      </c>
      <c r="L116" t="str">
        <f t="shared" si="7"/>
        <v>Active</v>
      </c>
      <c r="M116">
        <f t="shared" ca="1" si="8"/>
        <v>1711</v>
      </c>
      <c r="N116" t="str">
        <f t="shared" si="9"/>
        <v>30-39</v>
      </c>
      <c r="O116" t="str">
        <f t="shared" si="10"/>
        <v/>
      </c>
    </row>
    <row r="117" spans="1:15" x14ac:dyDescent="0.35">
      <c r="A117">
        <v>1116</v>
      </c>
      <c r="B117" t="s">
        <v>17</v>
      </c>
      <c r="C117" t="s">
        <v>14</v>
      </c>
      <c r="D117">
        <v>41</v>
      </c>
      <c r="E117" t="s">
        <v>12</v>
      </c>
      <c r="F117" s="1">
        <v>44221</v>
      </c>
      <c r="G117">
        <v>6470</v>
      </c>
      <c r="H117">
        <v>4</v>
      </c>
      <c r="I117">
        <v>6</v>
      </c>
      <c r="K117" t="str">
        <f t="shared" si="6"/>
        <v/>
      </c>
      <c r="L117" t="str">
        <f t="shared" si="7"/>
        <v>Active</v>
      </c>
      <c r="M117">
        <f t="shared" ca="1" si="8"/>
        <v>1760</v>
      </c>
      <c r="N117" t="str">
        <f t="shared" si="9"/>
        <v>40-49</v>
      </c>
      <c r="O117" t="str">
        <f t="shared" si="10"/>
        <v/>
      </c>
    </row>
    <row r="118" spans="1:15" x14ac:dyDescent="0.35">
      <c r="A118">
        <v>1117</v>
      </c>
      <c r="B118" t="s">
        <v>19</v>
      </c>
      <c r="C118" t="s">
        <v>14</v>
      </c>
      <c r="D118">
        <v>45</v>
      </c>
      <c r="E118" t="s">
        <v>12</v>
      </c>
      <c r="F118" s="1">
        <v>43181</v>
      </c>
      <c r="G118">
        <v>4553</v>
      </c>
      <c r="H118">
        <v>5</v>
      </c>
      <c r="I118">
        <v>2</v>
      </c>
      <c r="K118" t="str">
        <f t="shared" si="6"/>
        <v/>
      </c>
      <c r="L118" t="str">
        <f t="shared" si="7"/>
        <v>Active</v>
      </c>
      <c r="M118">
        <f t="shared" ca="1" si="8"/>
        <v>2800</v>
      </c>
      <c r="N118" t="str">
        <f t="shared" si="9"/>
        <v>40-49</v>
      </c>
      <c r="O118" t="str">
        <f t="shared" si="10"/>
        <v/>
      </c>
    </row>
    <row r="119" spans="1:15" x14ac:dyDescent="0.35">
      <c r="A119">
        <v>1118</v>
      </c>
      <c r="B119" t="s">
        <v>10</v>
      </c>
      <c r="C119" t="s">
        <v>14</v>
      </c>
      <c r="D119">
        <v>55</v>
      </c>
      <c r="E119" t="s">
        <v>12</v>
      </c>
      <c r="F119" s="1">
        <v>44301</v>
      </c>
      <c r="G119">
        <v>5152</v>
      </c>
      <c r="H119">
        <v>3</v>
      </c>
      <c r="I119">
        <v>0</v>
      </c>
      <c r="K119" t="str">
        <f t="shared" si="6"/>
        <v/>
      </c>
      <c r="L119" t="str">
        <f t="shared" si="7"/>
        <v>Active</v>
      </c>
      <c r="M119">
        <f t="shared" ca="1" si="8"/>
        <v>1680</v>
      </c>
      <c r="N119" t="str">
        <f t="shared" si="9"/>
        <v>50+</v>
      </c>
      <c r="O119" t="str">
        <f t="shared" si="10"/>
        <v/>
      </c>
    </row>
    <row r="120" spans="1:15" x14ac:dyDescent="0.35">
      <c r="A120">
        <v>1119</v>
      </c>
      <c r="B120" t="s">
        <v>16</v>
      </c>
      <c r="C120" t="s">
        <v>14</v>
      </c>
      <c r="D120">
        <v>46</v>
      </c>
      <c r="E120" t="s">
        <v>12</v>
      </c>
      <c r="F120" s="1">
        <v>42790</v>
      </c>
      <c r="G120">
        <v>4738</v>
      </c>
      <c r="H120">
        <v>4</v>
      </c>
      <c r="I120">
        <v>3</v>
      </c>
      <c r="K120" t="str">
        <f t="shared" si="6"/>
        <v/>
      </c>
      <c r="L120" t="str">
        <f t="shared" si="7"/>
        <v>Active</v>
      </c>
      <c r="M120">
        <f t="shared" ca="1" si="8"/>
        <v>3191</v>
      </c>
      <c r="N120" t="str">
        <f t="shared" si="9"/>
        <v>40-49</v>
      </c>
      <c r="O120" t="str">
        <f t="shared" si="10"/>
        <v/>
      </c>
    </row>
    <row r="121" spans="1:15" x14ac:dyDescent="0.35">
      <c r="A121">
        <v>1120</v>
      </c>
      <c r="B121" t="s">
        <v>13</v>
      </c>
      <c r="C121" t="s">
        <v>11</v>
      </c>
      <c r="D121">
        <v>50</v>
      </c>
      <c r="E121" t="s">
        <v>12</v>
      </c>
      <c r="F121" s="1">
        <v>43841</v>
      </c>
      <c r="G121">
        <v>3170</v>
      </c>
      <c r="H121">
        <v>2</v>
      </c>
      <c r="I121">
        <v>4</v>
      </c>
      <c r="J121" s="1">
        <v>44785</v>
      </c>
      <c r="K121">
        <f t="shared" si="6"/>
        <v>44785</v>
      </c>
      <c r="L121" t="str">
        <f t="shared" si="7"/>
        <v>Exited</v>
      </c>
      <c r="M121">
        <f t="shared" ca="1" si="8"/>
        <v>944</v>
      </c>
      <c r="N121" t="str">
        <f t="shared" si="9"/>
        <v>50+</v>
      </c>
      <c r="O121" t="str">
        <f t="shared" si="10"/>
        <v/>
      </c>
    </row>
    <row r="122" spans="1:15" x14ac:dyDescent="0.35">
      <c r="A122">
        <v>1121</v>
      </c>
      <c r="B122" t="s">
        <v>10</v>
      </c>
      <c r="C122" t="s">
        <v>11</v>
      </c>
      <c r="D122">
        <v>60</v>
      </c>
      <c r="E122" t="s">
        <v>12</v>
      </c>
      <c r="F122" s="1">
        <v>42567</v>
      </c>
      <c r="G122">
        <v>8776</v>
      </c>
      <c r="H122">
        <v>2</v>
      </c>
      <c r="I122">
        <v>0</v>
      </c>
      <c r="K122" t="str">
        <f t="shared" si="6"/>
        <v/>
      </c>
      <c r="L122" t="str">
        <f t="shared" si="7"/>
        <v>Active</v>
      </c>
      <c r="M122">
        <f t="shared" ca="1" si="8"/>
        <v>3414</v>
      </c>
      <c r="N122" t="str">
        <f t="shared" si="9"/>
        <v>50+</v>
      </c>
      <c r="O122" t="str">
        <f t="shared" si="10"/>
        <v/>
      </c>
    </row>
    <row r="123" spans="1:15" x14ac:dyDescent="0.35">
      <c r="A123">
        <v>1122</v>
      </c>
      <c r="B123" t="s">
        <v>10</v>
      </c>
      <c r="C123" t="s">
        <v>11</v>
      </c>
      <c r="D123">
        <v>52</v>
      </c>
      <c r="E123" t="s">
        <v>12</v>
      </c>
      <c r="F123" s="1">
        <v>45155</v>
      </c>
      <c r="G123">
        <v>7748</v>
      </c>
      <c r="H123">
        <v>3</v>
      </c>
      <c r="I123">
        <v>14</v>
      </c>
      <c r="J123" s="1">
        <v>46821</v>
      </c>
      <c r="K123">
        <f t="shared" si="6"/>
        <v>46821</v>
      </c>
      <c r="L123" t="str">
        <f t="shared" si="7"/>
        <v>Exited</v>
      </c>
      <c r="M123">
        <f t="shared" ca="1" si="8"/>
        <v>1666</v>
      </c>
      <c r="N123" t="str">
        <f t="shared" si="9"/>
        <v>50+</v>
      </c>
      <c r="O123" t="str">
        <f t="shared" si="10"/>
        <v/>
      </c>
    </row>
    <row r="124" spans="1:15" x14ac:dyDescent="0.35">
      <c r="A124">
        <v>1123</v>
      </c>
      <c r="B124" t="s">
        <v>16</v>
      </c>
      <c r="C124" t="s">
        <v>11</v>
      </c>
      <c r="D124">
        <v>44</v>
      </c>
      <c r="E124" t="s">
        <v>12</v>
      </c>
      <c r="F124" s="1">
        <v>43672</v>
      </c>
      <c r="G124">
        <v>7279</v>
      </c>
      <c r="H124">
        <v>1</v>
      </c>
      <c r="I124">
        <v>4</v>
      </c>
      <c r="K124" t="str">
        <f t="shared" si="6"/>
        <v/>
      </c>
      <c r="L124" t="str">
        <f t="shared" si="7"/>
        <v>Active</v>
      </c>
      <c r="M124">
        <f t="shared" ca="1" si="8"/>
        <v>2309</v>
      </c>
      <c r="N124" t="str">
        <f t="shared" si="9"/>
        <v>40-49</v>
      </c>
      <c r="O124" t="str">
        <f t="shared" si="10"/>
        <v/>
      </c>
    </row>
    <row r="125" spans="1:15" x14ac:dyDescent="0.35">
      <c r="A125">
        <v>1124</v>
      </c>
      <c r="B125" t="s">
        <v>10</v>
      </c>
      <c r="C125" t="s">
        <v>14</v>
      </c>
      <c r="D125">
        <v>59</v>
      </c>
      <c r="E125" t="s">
        <v>12</v>
      </c>
      <c r="F125" s="1">
        <v>43955</v>
      </c>
      <c r="G125">
        <v>4731</v>
      </c>
      <c r="H125">
        <v>1</v>
      </c>
      <c r="I125">
        <v>12</v>
      </c>
      <c r="K125" t="str">
        <f t="shared" si="6"/>
        <v/>
      </c>
      <c r="L125" t="str">
        <f t="shared" si="7"/>
        <v>Active</v>
      </c>
      <c r="M125">
        <f t="shared" ca="1" si="8"/>
        <v>2026</v>
      </c>
      <c r="N125" t="str">
        <f t="shared" si="9"/>
        <v>50+</v>
      </c>
      <c r="O125" t="str">
        <f t="shared" si="10"/>
        <v/>
      </c>
    </row>
    <row r="126" spans="1:15" x14ac:dyDescent="0.35">
      <c r="A126">
        <v>1125</v>
      </c>
      <c r="B126" t="s">
        <v>16</v>
      </c>
      <c r="C126" t="s">
        <v>11</v>
      </c>
      <c r="D126">
        <v>41</v>
      </c>
      <c r="E126" t="s">
        <v>21</v>
      </c>
      <c r="F126" s="1">
        <v>43435</v>
      </c>
      <c r="G126">
        <v>9388</v>
      </c>
      <c r="H126">
        <v>1</v>
      </c>
      <c r="I126">
        <v>7</v>
      </c>
      <c r="J126" s="1">
        <v>43734</v>
      </c>
      <c r="K126">
        <f t="shared" si="6"/>
        <v>43734</v>
      </c>
      <c r="L126" t="str">
        <f t="shared" si="7"/>
        <v>Exited</v>
      </c>
      <c r="M126">
        <f t="shared" ca="1" si="8"/>
        <v>299</v>
      </c>
      <c r="N126" t="str">
        <f t="shared" si="9"/>
        <v>40-49</v>
      </c>
      <c r="O126" t="str">
        <f t="shared" si="10"/>
        <v/>
      </c>
    </row>
    <row r="127" spans="1:15" x14ac:dyDescent="0.35">
      <c r="A127">
        <v>1126</v>
      </c>
      <c r="B127" t="s">
        <v>19</v>
      </c>
      <c r="C127" t="s">
        <v>11</v>
      </c>
      <c r="D127">
        <v>44</v>
      </c>
      <c r="E127" t="s">
        <v>12</v>
      </c>
      <c r="F127" s="1">
        <v>44204</v>
      </c>
      <c r="G127">
        <v>3224</v>
      </c>
      <c r="H127">
        <v>2</v>
      </c>
      <c r="I127">
        <v>7</v>
      </c>
      <c r="K127" t="str">
        <f t="shared" si="6"/>
        <v/>
      </c>
      <c r="L127" t="str">
        <f t="shared" si="7"/>
        <v>Active</v>
      </c>
      <c r="M127">
        <f t="shared" ca="1" si="8"/>
        <v>1777</v>
      </c>
      <c r="N127" t="str">
        <f t="shared" si="9"/>
        <v>40-49</v>
      </c>
      <c r="O127" t="str">
        <f t="shared" si="10"/>
        <v/>
      </c>
    </row>
    <row r="128" spans="1:15" x14ac:dyDescent="0.35">
      <c r="A128">
        <v>1127</v>
      </c>
      <c r="B128" t="s">
        <v>16</v>
      </c>
      <c r="C128" t="s">
        <v>11</v>
      </c>
      <c r="D128">
        <v>37</v>
      </c>
      <c r="E128" t="s">
        <v>21</v>
      </c>
      <c r="F128" s="1">
        <v>45124</v>
      </c>
      <c r="G128">
        <v>9104</v>
      </c>
      <c r="H128">
        <v>1</v>
      </c>
      <c r="I128">
        <v>4</v>
      </c>
      <c r="K128" t="str">
        <f t="shared" si="6"/>
        <v/>
      </c>
      <c r="L128" t="str">
        <f t="shared" si="7"/>
        <v>Active</v>
      </c>
      <c r="M128">
        <f t="shared" ca="1" si="8"/>
        <v>857</v>
      </c>
      <c r="N128" t="str">
        <f t="shared" si="9"/>
        <v>30-39</v>
      </c>
      <c r="O128" t="str">
        <f t="shared" si="10"/>
        <v/>
      </c>
    </row>
    <row r="129" spans="1:15" x14ac:dyDescent="0.35">
      <c r="A129">
        <v>1128</v>
      </c>
      <c r="B129" t="s">
        <v>16</v>
      </c>
      <c r="C129" t="s">
        <v>14</v>
      </c>
      <c r="D129">
        <v>29</v>
      </c>
      <c r="E129" t="s">
        <v>12</v>
      </c>
      <c r="F129" s="1">
        <v>44380</v>
      </c>
      <c r="G129">
        <v>7524</v>
      </c>
      <c r="H129">
        <v>5</v>
      </c>
      <c r="I129">
        <v>8</v>
      </c>
      <c r="K129" t="str">
        <f t="shared" si="6"/>
        <v/>
      </c>
      <c r="L129" t="str">
        <f t="shared" si="7"/>
        <v>Active</v>
      </c>
      <c r="M129">
        <f t="shared" ca="1" si="8"/>
        <v>1601</v>
      </c>
      <c r="N129" t="str">
        <f t="shared" si="9"/>
        <v>Under 30</v>
      </c>
      <c r="O129" t="str">
        <f t="shared" si="10"/>
        <v/>
      </c>
    </row>
    <row r="130" spans="1:15" x14ac:dyDescent="0.35">
      <c r="A130">
        <v>1129</v>
      </c>
      <c r="B130" t="s">
        <v>17</v>
      </c>
      <c r="C130" t="s">
        <v>11</v>
      </c>
      <c r="D130">
        <v>42</v>
      </c>
      <c r="E130" t="s">
        <v>12</v>
      </c>
      <c r="F130" s="1">
        <v>42267</v>
      </c>
      <c r="G130">
        <v>3694</v>
      </c>
      <c r="H130">
        <v>4</v>
      </c>
      <c r="I130">
        <v>0</v>
      </c>
      <c r="K130" t="str">
        <f t="shared" si="6"/>
        <v/>
      </c>
      <c r="L130" t="str">
        <f t="shared" si="7"/>
        <v>Active</v>
      </c>
      <c r="M130">
        <f t="shared" ca="1" si="8"/>
        <v>3714</v>
      </c>
      <c r="N130" t="str">
        <f t="shared" si="9"/>
        <v>40-49</v>
      </c>
      <c r="O130" t="str">
        <f t="shared" si="10"/>
        <v/>
      </c>
    </row>
    <row r="131" spans="1:15" x14ac:dyDescent="0.35">
      <c r="A131">
        <v>1130</v>
      </c>
      <c r="B131" t="s">
        <v>16</v>
      </c>
      <c r="C131" t="s">
        <v>11</v>
      </c>
      <c r="D131">
        <v>22</v>
      </c>
      <c r="E131" t="s">
        <v>12</v>
      </c>
      <c r="F131" s="1">
        <v>42078</v>
      </c>
      <c r="G131">
        <v>9433</v>
      </c>
      <c r="H131">
        <v>2</v>
      </c>
      <c r="I131">
        <v>3</v>
      </c>
      <c r="J131" s="1">
        <v>43360</v>
      </c>
      <c r="K131">
        <f t="shared" ref="K131:K194" si="11">IF(J131="", "", J131)</f>
        <v>43360</v>
      </c>
      <c r="L131" t="str">
        <f t="shared" ref="L131:L194" si="12">IF(J131="", "Active", "Exited")</f>
        <v>Exited</v>
      </c>
      <c r="M131">
        <f t="shared" ref="M131:M194" ca="1" si="13">IF(L131="Active", TODAY()-F131, J131-F131)</f>
        <v>1282</v>
      </c>
      <c r="N131" t="str">
        <f t="shared" ref="N131:N194" si="14">IF(D131&lt;30,"Under 30",
IF(D131&lt;40,"30-39",
IF(D131&lt;50,"40-49","50+")))</f>
        <v>Under 30</v>
      </c>
      <c r="O131" t="str">
        <f t="shared" ref="O131:O194" si="15">IF(AND(J131&lt;&gt;"", F131&lt;&gt;"", J131&lt;F131), "Invalid Exit Date", "")</f>
        <v/>
      </c>
    </row>
    <row r="132" spans="1:15" x14ac:dyDescent="0.35">
      <c r="A132">
        <v>1131</v>
      </c>
      <c r="B132" t="s">
        <v>16</v>
      </c>
      <c r="C132" t="s">
        <v>20</v>
      </c>
      <c r="D132">
        <v>29</v>
      </c>
      <c r="E132" t="s">
        <v>12</v>
      </c>
      <c r="F132" s="1">
        <v>45184</v>
      </c>
      <c r="G132">
        <v>9270</v>
      </c>
      <c r="H132">
        <v>3</v>
      </c>
      <c r="I132">
        <v>2</v>
      </c>
      <c r="K132" t="str">
        <f t="shared" si="11"/>
        <v/>
      </c>
      <c r="L132" t="str">
        <f t="shared" si="12"/>
        <v>Active</v>
      </c>
      <c r="M132">
        <f t="shared" ca="1" si="13"/>
        <v>797</v>
      </c>
      <c r="N132" t="str">
        <f t="shared" si="14"/>
        <v>Under 30</v>
      </c>
      <c r="O132" t="str">
        <f t="shared" si="15"/>
        <v/>
      </c>
    </row>
    <row r="133" spans="1:15" x14ac:dyDescent="0.35">
      <c r="A133">
        <v>1132</v>
      </c>
      <c r="B133" t="s">
        <v>13</v>
      </c>
      <c r="C133" t="s">
        <v>11</v>
      </c>
      <c r="D133">
        <v>50</v>
      </c>
      <c r="E133" t="s">
        <v>12</v>
      </c>
      <c r="F133" s="1">
        <v>44950</v>
      </c>
      <c r="G133">
        <v>3397</v>
      </c>
      <c r="H133">
        <v>3</v>
      </c>
      <c r="I133">
        <v>1</v>
      </c>
      <c r="K133" t="str">
        <f t="shared" si="11"/>
        <v/>
      </c>
      <c r="L133" t="str">
        <f t="shared" si="12"/>
        <v>Active</v>
      </c>
      <c r="M133">
        <f t="shared" ca="1" si="13"/>
        <v>1031</v>
      </c>
      <c r="N133" t="str">
        <f t="shared" si="14"/>
        <v>50+</v>
      </c>
      <c r="O133" t="str">
        <f t="shared" si="15"/>
        <v/>
      </c>
    </row>
    <row r="134" spans="1:15" x14ac:dyDescent="0.35">
      <c r="A134">
        <v>1133</v>
      </c>
      <c r="B134" t="s">
        <v>19</v>
      </c>
      <c r="C134" t="s">
        <v>14</v>
      </c>
      <c r="D134">
        <v>53</v>
      </c>
      <c r="E134" t="s">
        <v>12</v>
      </c>
      <c r="F134" s="1">
        <v>43122</v>
      </c>
      <c r="G134">
        <v>5862</v>
      </c>
      <c r="H134">
        <v>4</v>
      </c>
      <c r="I134">
        <v>7</v>
      </c>
      <c r="K134" t="str">
        <f t="shared" si="11"/>
        <v/>
      </c>
      <c r="L134" t="str">
        <f t="shared" si="12"/>
        <v>Active</v>
      </c>
      <c r="M134">
        <f t="shared" ca="1" si="13"/>
        <v>2859</v>
      </c>
      <c r="N134" t="str">
        <f t="shared" si="14"/>
        <v>50+</v>
      </c>
      <c r="O134" t="str">
        <f t="shared" si="15"/>
        <v/>
      </c>
    </row>
    <row r="135" spans="1:15" x14ac:dyDescent="0.35">
      <c r="A135">
        <v>1134</v>
      </c>
      <c r="B135" t="s">
        <v>17</v>
      </c>
      <c r="C135" t="s">
        <v>11</v>
      </c>
      <c r="D135">
        <v>59</v>
      </c>
      <c r="E135" t="s">
        <v>12</v>
      </c>
      <c r="F135" s="1">
        <v>45030</v>
      </c>
      <c r="G135">
        <v>5136</v>
      </c>
      <c r="H135">
        <v>2</v>
      </c>
      <c r="I135">
        <v>8</v>
      </c>
      <c r="K135" t="str">
        <f t="shared" si="11"/>
        <v/>
      </c>
      <c r="L135" t="str">
        <f t="shared" si="12"/>
        <v>Active</v>
      </c>
      <c r="M135">
        <f t="shared" ca="1" si="13"/>
        <v>951</v>
      </c>
      <c r="N135" t="str">
        <f t="shared" si="14"/>
        <v>50+</v>
      </c>
      <c r="O135" t="str">
        <f t="shared" si="15"/>
        <v/>
      </c>
    </row>
    <row r="136" spans="1:15" x14ac:dyDescent="0.35">
      <c r="A136">
        <v>1135</v>
      </c>
      <c r="B136" t="s">
        <v>13</v>
      </c>
      <c r="C136" t="s">
        <v>11</v>
      </c>
      <c r="D136">
        <v>26</v>
      </c>
      <c r="E136" t="s">
        <v>18</v>
      </c>
      <c r="F136" s="1">
        <v>43004</v>
      </c>
      <c r="G136">
        <v>7488</v>
      </c>
      <c r="H136">
        <v>1</v>
      </c>
      <c r="I136">
        <v>1</v>
      </c>
      <c r="K136" t="str">
        <f t="shared" si="11"/>
        <v/>
      </c>
      <c r="L136" t="str">
        <f t="shared" si="12"/>
        <v>Active</v>
      </c>
      <c r="M136">
        <f t="shared" ca="1" si="13"/>
        <v>2977</v>
      </c>
      <c r="N136" t="str">
        <f t="shared" si="14"/>
        <v>Under 30</v>
      </c>
      <c r="O136" t="str">
        <f t="shared" si="15"/>
        <v/>
      </c>
    </row>
    <row r="137" spans="1:15" x14ac:dyDescent="0.35">
      <c r="A137">
        <v>1136</v>
      </c>
      <c r="B137" t="s">
        <v>15</v>
      </c>
      <c r="C137" t="s">
        <v>14</v>
      </c>
      <c r="D137">
        <v>43</v>
      </c>
      <c r="E137" t="s">
        <v>12</v>
      </c>
      <c r="F137" s="1">
        <v>44375</v>
      </c>
      <c r="G137">
        <v>4487</v>
      </c>
      <c r="H137">
        <v>1</v>
      </c>
      <c r="I137">
        <v>13</v>
      </c>
      <c r="K137" t="str">
        <f t="shared" si="11"/>
        <v/>
      </c>
      <c r="L137" t="str">
        <f t="shared" si="12"/>
        <v>Active</v>
      </c>
      <c r="M137">
        <f t="shared" ca="1" si="13"/>
        <v>1606</v>
      </c>
      <c r="N137" t="str">
        <f t="shared" si="14"/>
        <v>40-49</v>
      </c>
      <c r="O137" t="str">
        <f t="shared" si="15"/>
        <v/>
      </c>
    </row>
    <row r="138" spans="1:15" x14ac:dyDescent="0.35">
      <c r="A138">
        <v>1137</v>
      </c>
      <c r="B138" t="s">
        <v>19</v>
      </c>
      <c r="C138" t="s">
        <v>11</v>
      </c>
      <c r="D138">
        <v>55</v>
      </c>
      <c r="E138" t="s">
        <v>12</v>
      </c>
      <c r="F138" s="1">
        <v>44158</v>
      </c>
      <c r="G138">
        <v>3372</v>
      </c>
      <c r="H138">
        <v>5</v>
      </c>
      <c r="I138">
        <v>13</v>
      </c>
      <c r="K138" t="str">
        <f t="shared" si="11"/>
        <v/>
      </c>
      <c r="L138" t="str">
        <f t="shared" si="12"/>
        <v>Active</v>
      </c>
      <c r="M138">
        <f t="shared" ca="1" si="13"/>
        <v>1823</v>
      </c>
      <c r="N138" t="str">
        <f t="shared" si="14"/>
        <v>50+</v>
      </c>
      <c r="O138" t="str">
        <f t="shared" si="15"/>
        <v/>
      </c>
    </row>
    <row r="139" spans="1:15" x14ac:dyDescent="0.35">
      <c r="A139">
        <v>1138</v>
      </c>
      <c r="B139" t="s">
        <v>19</v>
      </c>
      <c r="C139" t="s">
        <v>11</v>
      </c>
      <c r="D139">
        <v>22</v>
      </c>
      <c r="E139" t="s">
        <v>12</v>
      </c>
      <c r="F139" s="1">
        <v>44634</v>
      </c>
      <c r="G139">
        <v>8971</v>
      </c>
      <c r="H139">
        <v>5</v>
      </c>
      <c r="I139">
        <v>3</v>
      </c>
      <c r="K139" t="str">
        <f t="shared" si="11"/>
        <v/>
      </c>
      <c r="L139" t="str">
        <f t="shared" si="12"/>
        <v>Active</v>
      </c>
      <c r="M139">
        <f t="shared" ca="1" si="13"/>
        <v>1347</v>
      </c>
      <c r="N139" t="str">
        <f t="shared" si="14"/>
        <v>Under 30</v>
      </c>
      <c r="O139" t="str">
        <f t="shared" si="15"/>
        <v/>
      </c>
    </row>
    <row r="140" spans="1:15" x14ac:dyDescent="0.35">
      <c r="A140">
        <v>1139</v>
      </c>
      <c r="B140" t="s">
        <v>15</v>
      </c>
      <c r="C140" t="s">
        <v>14</v>
      </c>
      <c r="D140">
        <v>47</v>
      </c>
      <c r="E140" t="s">
        <v>21</v>
      </c>
      <c r="F140" s="1">
        <v>44950</v>
      </c>
      <c r="G140">
        <v>4890</v>
      </c>
      <c r="H140">
        <v>1</v>
      </c>
      <c r="I140">
        <v>5</v>
      </c>
      <c r="K140" t="str">
        <f t="shared" si="11"/>
        <v/>
      </c>
      <c r="L140" t="str">
        <f t="shared" si="12"/>
        <v>Active</v>
      </c>
      <c r="M140">
        <f t="shared" ca="1" si="13"/>
        <v>1031</v>
      </c>
      <c r="N140" t="str">
        <f t="shared" si="14"/>
        <v>40-49</v>
      </c>
      <c r="O140" t="str">
        <f t="shared" si="15"/>
        <v/>
      </c>
    </row>
    <row r="141" spans="1:15" x14ac:dyDescent="0.35">
      <c r="A141">
        <v>1140</v>
      </c>
      <c r="B141" t="s">
        <v>16</v>
      </c>
      <c r="C141" t="s">
        <v>14</v>
      </c>
      <c r="D141">
        <v>31</v>
      </c>
      <c r="E141" t="s">
        <v>12</v>
      </c>
      <c r="F141" s="1">
        <v>43557</v>
      </c>
      <c r="G141">
        <v>8600</v>
      </c>
      <c r="H141">
        <v>3</v>
      </c>
      <c r="I141">
        <v>10</v>
      </c>
      <c r="K141" t="str">
        <f t="shared" si="11"/>
        <v/>
      </c>
      <c r="L141" t="str">
        <f t="shared" si="12"/>
        <v>Active</v>
      </c>
      <c r="M141">
        <f t="shared" ca="1" si="13"/>
        <v>2424</v>
      </c>
      <c r="N141" t="str">
        <f t="shared" si="14"/>
        <v>30-39</v>
      </c>
      <c r="O141" t="str">
        <f t="shared" si="15"/>
        <v/>
      </c>
    </row>
    <row r="142" spans="1:15" x14ac:dyDescent="0.35">
      <c r="A142">
        <v>1141</v>
      </c>
      <c r="B142" t="s">
        <v>13</v>
      </c>
      <c r="C142" t="s">
        <v>14</v>
      </c>
      <c r="D142">
        <v>51</v>
      </c>
      <c r="E142" t="s">
        <v>12</v>
      </c>
      <c r="F142" s="1">
        <v>42351</v>
      </c>
      <c r="G142">
        <v>9366</v>
      </c>
      <c r="H142">
        <v>3</v>
      </c>
      <c r="I142">
        <v>2</v>
      </c>
      <c r="K142" t="str">
        <f t="shared" si="11"/>
        <v/>
      </c>
      <c r="L142" t="str">
        <f t="shared" si="12"/>
        <v>Active</v>
      </c>
      <c r="M142">
        <f t="shared" ca="1" si="13"/>
        <v>3630</v>
      </c>
      <c r="N142" t="str">
        <f t="shared" si="14"/>
        <v>50+</v>
      </c>
      <c r="O142" t="str">
        <f t="shared" si="15"/>
        <v/>
      </c>
    </row>
    <row r="143" spans="1:15" x14ac:dyDescent="0.35">
      <c r="A143">
        <v>1142</v>
      </c>
      <c r="B143" t="s">
        <v>10</v>
      </c>
      <c r="C143" t="s">
        <v>14</v>
      </c>
      <c r="D143">
        <v>39</v>
      </c>
      <c r="E143" t="s">
        <v>12</v>
      </c>
      <c r="F143" s="1">
        <v>43004</v>
      </c>
      <c r="G143">
        <v>6469</v>
      </c>
      <c r="H143">
        <v>5</v>
      </c>
      <c r="I143">
        <v>7</v>
      </c>
      <c r="K143" t="str">
        <f t="shared" si="11"/>
        <v/>
      </c>
      <c r="L143" t="str">
        <f t="shared" si="12"/>
        <v>Active</v>
      </c>
      <c r="M143">
        <f t="shared" ca="1" si="13"/>
        <v>2977</v>
      </c>
      <c r="N143" t="str">
        <f t="shared" si="14"/>
        <v>30-39</v>
      </c>
      <c r="O143" t="str">
        <f t="shared" si="15"/>
        <v/>
      </c>
    </row>
    <row r="144" spans="1:15" x14ac:dyDescent="0.35">
      <c r="A144">
        <v>1143</v>
      </c>
      <c r="B144" t="s">
        <v>17</v>
      </c>
      <c r="C144" t="s">
        <v>14</v>
      </c>
      <c r="D144">
        <v>38</v>
      </c>
      <c r="E144" t="s">
        <v>12</v>
      </c>
      <c r="F144" s="1">
        <v>44634</v>
      </c>
      <c r="G144">
        <v>7072</v>
      </c>
      <c r="H144">
        <v>4</v>
      </c>
      <c r="I144">
        <v>2</v>
      </c>
      <c r="K144" t="str">
        <f t="shared" si="11"/>
        <v/>
      </c>
      <c r="L144" t="str">
        <f t="shared" si="12"/>
        <v>Active</v>
      </c>
      <c r="M144">
        <f t="shared" ca="1" si="13"/>
        <v>1347</v>
      </c>
      <c r="N144" t="str">
        <f t="shared" si="14"/>
        <v>30-39</v>
      </c>
      <c r="O144" t="str">
        <f t="shared" si="15"/>
        <v/>
      </c>
    </row>
    <row r="145" spans="1:15" x14ac:dyDescent="0.35">
      <c r="A145">
        <v>1144</v>
      </c>
      <c r="B145" t="s">
        <v>10</v>
      </c>
      <c r="C145" t="s">
        <v>11</v>
      </c>
      <c r="D145">
        <v>47</v>
      </c>
      <c r="E145" t="s">
        <v>12</v>
      </c>
      <c r="F145" s="1">
        <v>44192</v>
      </c>
      <c r="G145">
        <v>7424</v>
      </c>
      <c r="H145">
        <v>1</v>
      </c>
      <c r="I145">
        <v>13</v>
      </c>
      <c r="K145" t="str">
        <f t="shared" si="11"/>
        <v/>
      </c>
      <c r="L145" t="str">
        <f t="shared" si="12"/>
        <v>Active</v>
      </c>
      <c r="M145">
        <f t="shared" ca="1" si="13"/>
        <v>1789</v>
      </c>
      <c r="N145" t="str">
        <f t="shared" si="14"/>
        <v>40-49</v>
      </c>
      <c r="O145" t="str">
        <f t="shared" si="15"/>
        <v/>
      </c>
    </row>
    <row r="146" spans="1:15" x14ac:dyDescent="0.35">
      <c r="A146">
        <v>1145</v>
      </c>
      <c r="B146" t="s">
        <v>15</v>
      </c>
      <c r="C146" t="s">
        <v>14</v>
      </c>
      <c r="D146">
        <v>29</v>
      </c>
      <c r="E146" t="s">
        <v>21</v>
      </c>
      <c r="F146" s="1">
        <v>44828</v>
      </c>
      <c r="G146">
        <v>4433</v>
      </c>
      <c r="H146">
        <v>5</v>
      </c>
      <c r="I146">
        <v>12</v>
      </c>
      <c r="J146" s="1">
        <v>45535</v>
      </c>
      <c r="K146">
        <f t="shared" si="11"/>
        <v>45535</v>
      </c>
      <c r="L146" t="str">
        <f t="shared" si="12"/>
        <v>Exited</v>
      </c>
      <c r="M146">
        <f t="shared" ca="1" si="13"/>
        <v>707</v>
      </c>
      <c r="N146" t="str">
        <f t="shared" si="14"/>
        <v>Under 30</v>
      </c>
      <c r="O146" t="str">
        <f t="shared" si="15"/>
        <v/>
      </c>
    </row>
    <row r="147" spans="1:15" x14ac:dyDescent="0.35">
      <c r="A147">
        <v>1146</v>
      </c>
      <c r="B147" t="s">
        <v>19</v>
      </c>
      <c r="C147" t="s">
        <v>14</v>
      </c>
      <c r="D147">
        <v>33</v>
      </c>
      <c r="E147" t="s">
        <v>12</v>
      </c>
      <c r="F147" s="1">
        <v>45126</v>
      </c>
      <c r="G147">
        <v>7861</v>
      </c>
      <c r="H147">
        <v>5</v>
      </c>
      <c r="I147">
        <v>12</v>
      </c>
      <c r="K147" t="str">
        <f t="shared" si="11"/>
        <v/>
      </c>
      <c r="L147" t="str">
        <f t="shared" si="12"/>
        <v>Active</v>
      </c>
      <c r="M147">
        <f t="shared" ca="1" si="13"/>
        <v>855</v>
      </c>
      <c r="N147" t="str">
        <f t="shared" si="14"/>
        <v>30-39</v>
      </c>
      <c r="O147" t="str">
        <f t="shared" si="15"/>
        <v/>
      </c>
    </row>
    <row r="148" spans="1:15" x14ac:dyDescent="0.35">
      <c r="A148">
        <v>1147</v>
      </c>
      <c r="B148" t="s">
        <v>19</v>
      </c>
      <c r="C148" t="s">
        <v>11</v>
      </c>
      <c r="D148">
        <v>48</v>
      </c>
      <c r="E148" t="s">
        <v>12</v>
      </c>
      <c r="F148" s="1">
        <v>43441</v>
      </c>
      <c r="G148">
        <v>4317</v>
      </c>
      <c r="H148">
        <v>1</v>
      </c>
      <c r="I148">
        <v>1</v>
      </c>
      <c r="J148" s="1">
        <v>43898</v>
      </c>
      <c r="K148">
        <f t="shared" si="11"/>
        <v>43898</v>
      </c>
      <c r="L148" t="str">
        <f t="shared" si="12"/>
        <v>Exited</v>
      </c>
      <c r="M148">
        <f t="shared" ca="1" si="13"/>
        <v>457</v>
      </c>
      <c r="N148" t="str">
        <f t="shared" si="14"/>
        <v>40-49</v>
      </c>
      <c r="O148" t="str">
        <f t="shared" si="15"/>
        <v/>
      </c>
    </row>
    <row r="149" spans="1:15" x14ac:dyDescent="0.35">
      <c r="A149">
        <v>1148</v>
      </c>
      <c r="B149" t="s">
        <v>17</v>
      </c>
      <c r="C149" t="s">
        <v>11</v>
      </c>
      <c r="D149">
        <v>29</v>
      </c>
      <c r="E149" t="s">
        <v>12</v>
      </c>
      <c r="F149" s="1">
        <v>42097</v>
      </c>
      <c r="G149">
        <v>7093</v>
      </c>
      <c r="H149">
        <v>1</v>
      </c>
      <c r="I149">
        <v>12</v>
      </c>
      <c r="K149" t="str">
        <f t="shared" si="11"/>
        <v/>
      </c>
      <c r="L149" t="str">
        <f t="shared" si="12"/>
        <v>Active</v>
      </c>
      <c r="M149">
        <f t="shared" ca="1" si="13"/>
        <v>3884</v>
      </c>
      <c r="N149" t="str">
        <f t="shared" si="14"/>
        <v>Under 30</v>
      </c>
      <c r="O149" t="str">
        <f t="shared" si="15"/>
        <v/>
      </c>
    </row>
    <row r="150" spans="1:15" x14ac:dyDescent="0.35">
      <c r="A150">
        <v>1149</v>
      </c>
      <c r="B150" t="s">
        <v>19</v>
      </c>
      <c r="C150" t="s">
        <v>14</v>
      </c>
      <c r="D150">
        <v>46</v>
      </c>
      <c r="E150" t="s">
        <v>12</v>
      </c>
      <c r="F150" s="1">
        <v>42078</v>
      </c>
      <c r="G150">
        <v>5457</v>
      </c>
      <c r="H150">
        <v>3</v>
      </c>
      <c r="I150">
        <v>18</v>
      </c>
      <c r="K150" t="str">
        <f t="shared" si="11"/>
        <v/>
      </c>
      <c r="L150" t="str">
        <f t="shared" si="12"/>
        <v>Active</v>
      </c>
      <c r="M150">
        <f t="shared" ca="1" si="13"/>
        <v>3903</v>
      </c>
      <c r="N150" t="str">
        <f t="shared" si="14"/>
        <v>40-49</v>
      </c>
      <c r="O150" t="str">
        <f t="shared" si="15"/>
        <v/>
      </c>
    </row>
    <row r="151" spans="1:15" x14ac:dyDescent="0.35">
      <c r="A151">
        <v>1150</v>
      </c>
      <c r="B151" t="s">
        <v>19</v>
      </c>
      <c r="C151" t="s">
        <v>14</v>
      </c>
      <c r="D151">
        <v>25</v>
      </c>
      <c r="E151" t="s">
        <v>12</v>
      </c>
      <c r="F151" s="1">
        <v>43396</v>
      </c>
      <c r="G151">
        <v>6448</v>
      </c>
      <c r="H151">
        <v>4</v>
      </c>
      <c r="I151">
        <v>5</v>
      </c>
      <c r="J151" s="1">
        <v>44008</v>
      </c>
      <c r="K151">
        <f t="shared" si="11"/>
        <v>44008</v>
      </c>
      <c r="L151" t="str">
        <f t="shared" si="12"/>
        <v>Exited</v>
      </c>
      <c r="M151">
        <f t="shared" ca="1" si="13"/>
        <v>612</v>
      </c>
      <c r="N151" t="str">
        <f t="shared" si="14"/>
        <v>Under 30</v>
      </c>
      <c r="O151" t="str">
        <f t="shared" si="15"/>
        <v/>
      </c>
    </row>
    <row r="152" spans="1:15" x14ac:dyDescent="0.35">
      <c r="A152">
        <v>1151</v>
      </c>
      <c r="B152" t="s">
        <v>17</v>
      </c>
      <c r="C152" t="s">
        <v>14</v>
      </c>
      <c r="D152">
        <v>54</v>
      </c>
      <c r="E152" t="s">
        <v>12</v>
      </c>
      <c r="F152" s="1">
        <v>44330</v>
      </c>
      <c r="G152">
        <v>7748</v>
      </c>
      <c r="H152">
        <v>4</v>
      </c>
      <c r="I152">
        <v>15</v>
      </c>
      <c r="J152" s="1">
        <v>46005</v>
      </c>
      <c r="K152">
        <f t="shared" si="11"/>
        <v>46005</v>
      </c>
      <c r="L152" t="str">
        <f t="shared" si="12"/>
        <v>Exited</v>
      </c>
      <c r="M152">
        <f t="shared" ca="1" si="13"/>
        <v>1675</v>
      </c>
      <c r="N152" t="str">
        <f t="shared" si="14"/>
        <v>50+</v>
      </c>
      <c r="O152" t="str">
        <f t="shared" si="15"/>
        <v/>
      </c>
    </row>
    <row r="153" spans="1:15" x14ac:dyDescent="0.35">
      <c r="A153">
        <v>1152</v>
      </c>
      <c r="B153" t="s">
        <v>13</v>
      </c>
      <c r="C153" t="s">
        <v>11</v>
      </c>
      <c r="D153">
        <v>22</v>
      </c>
      <c r="E153" t="s">
        <v>12</v>
      </c>
      <c r="F153" s="1">
        <v>42501</v>
      </c>
      <c r="G153">
        <v>6388</v>
      </c>
      <c r="H153">
        <v>1</v>
      </c>
      <c r="I153">
        <v>1</v>
      </c>
      <c r="J153" s="1">
        <v>43789</v>
      </c>
      <c r="K153">
        <f t="shared" si="11"/>
        <v>43789</v>
      </c>
      <c r="L153" t="str">
        <f t="shared" si="12"/>
        <v>Exited</v>
      </c>
      <c r="M153">
        <f t="shared" ca="1" si="13"/>
        <v>1288</v>
      </c>
      <c r="N153" t="str">
        <f t="shared" si="14"/>
        <v>Under 30</v>
      </c>
      <c r="O153" t="str">
        <f t="shared" si="15"/>
        <v/>
      </c>
    </row>
    <row r="154" spans="1:15" x14ac:dyDescent="0.35">
      <c r="A154">
        <v>1153</v>
      </c>
      <c r="B154" t="s">
        <v>13</v>
      </c>
      <c r="C154" t="s">
        <v>14</v>
      </c>
      <c r="D154">
        <v>40</v>
      </c>
      <c r="E154" t="s">
        <v>12</v>
      </c>
      <c r="F154" s="1">
        <v>42809</v>
      </c>
      <c r="G154">
        <v>4337</v>
      </c>
      <c r="H154">
        <v>2</v>
      </c>
      <c r="I154">
        <v>7</v>
      </c>
      <c r="K154" t="str">
        <f t="shared" si="11"/>
        <v/>
      </c>
      <c r="L154" t="str">
        <f t="shared" si="12"/>
        <v>Active</v>
      </c>
      <c r="M154">
        <f t="shared" ca="1" si="13"/>
        <v>3172</v>
      </c>
      <c r="N154" t="str">
        <f t="shared" si="14"/>
        <v>40-49</v>
      </c>
      <c r="O154" t="str">
        <f t="shared" si="15"/>
        <v/>
      </c>
    </row>
    <row r="155" spans="1:15" x14ac:dyDescent="0.35">
      <c r="A155">
        <v>1154</v>
      </c>
      <c r="B155" t="s">
        <v>17</v>
      </c>
      <c r="C155" t="s">
        <v>11</v>
      </c>
      <c r="D155">
        <v>52</v>
      </c>
      <c r="E155" t="s">
        <v>12</v>
      </c>
      <c r="F155" s="1">
        <v>42366</v>
      </c>
      <c r="G155">
        <v>8965</v>
      </c>
      <c r="H155">
        <v>5</v>
      </c>
      <c r="I155">
        <v>16</v>
      </c>
      <c r="K155" t="str">
        <f t="shared" si="11"/>
        <v/>
      </c>
      <c r="L155" t="str">
        <f t="shared" si="12"/>
        <v>Active</v>
      </c>
      <c r="M155">
        <f t="shared" ca="1" si="13"/>
        <v>3615</v>
      </c>
      <c r="N155" t="str">
        <f t="shared" si="14"/>
        <v>50+</v>
      </c>
      <c r="O155" t="str">
        <f t="shared" si="15"/>
        <v/>
      </c>
    </row>
    <row r="156" spans="1:15" x14ac:dyDescent="0.35">
      <c r="A156">
        <v>1155</v>
      </c>
      <c r="B156" t="s">
        <v>15</v>
      </c>
      <c r="C156" t="s">
        <v>20</v>
      </c>
      <c r="D156">
        <v>37</v>
      </c>
      <c r="E156" t="s">
        <v>12</v>
      </c>
      <c r="F156" s="1">
        <v>43721</v>
      </c>
      <c r="G156">
        <v>7976</v>
      </c>
      <c r="H156">
        <v>5</v>
      </c>
      <c r="I156">
        <v>1</v>
      </c>
      <c r="K156" t="str">
        <f t="shared" si="11"/>
        <v/>
      </c>
      <c r="L156" t="str">
        <f t="shared" si="12"/>
        <v>Active</v>
      </c>
      <c r="M156">
        <f t="shared" ca="1" si="13"/>
        <v>2260</v>
      </c>
      <c r="N156" t="str">
        <f t="shared" si="14"/>
        <v>30-39</v>
      </c>
      <c r="O156" t="str">
        <f t="shared" si="15"/>
        <v/>
      </c>
    </row>
    <row r="157" spans="1:15" x14ac:dyDescent="0.35">
      <c r="A157">
        <v>1156</v>
      </c>
      <c r="B157" t="s">
        <v>19</v>
      </c>
      <c r="C157" t="s">
        <v>14</v>
      </c>
      <c r="D157">
        <v>35</v>
      </c>
      <c r="E157" t="s">
        <v>12</v>
      </c>
      <c r="F157" s="1">
        <v>42112</v>
      </c>
      <c r="G157">
        <v>5937</v>
      </c>
      <c r="H157">
        <v>1</v>
      </c>
      <c r="I157">
        <v>9</v>
      </c>
      <c r="K157" t="str">
        <f t="shared" si="11"/>
        <v/>
      </c>
      <c r="L157" t="str">
        <f t="shared" si="12"/>
        <v>Active</v>
      </c>
      <c r="M157">
        <f t="shared" ca="1" si="13"/>
        <v>3869</v>
      </c>
      <c r="N157" t="str">
        <f t="shared" si="14"/>
        <v>30-39</v>
      </c>
      <c r="O157" t="str">
        <f t="shared" si="15"/>
        <v/>
      </c>
    </row>
    <row r="158" spans="1:15" x14ac:dyDescent="0.35">
      <c r="A158">
        <v>1157</v>
      </c>
      <c r="B158" t="s">
        <v>19</v>
      </c>
      <c r="C158" t="s">
        <v>11</v>
      </c>
      <c r="D158">
        <v>26</v>
      </c>
      <c r="E158" t="s">
        <v>21</v>
      </c>
      <c r="F158" s="1">
        <v>44891</v>
      </c>
      <c r="G158">
        <v>2897</v>
      </c>
      <c r="H158">
        <v>2</v>
      </c>
      <c r="I158">
        <v>15</v>
      </c>
      <c r="K158" t="str">
        <f t="shared" si="11"/>
        <v/>
      </c>
      <c r="L158" t="str">
        <f t="shared" si="12"/>
        <v>Active</v>
      </c>
      <c r="M158">
        <f t="shared" ca="1" si="13"/>
        <v>1090</v>
      </c>
      <c r="N158" t="str">
        <f t="shared" si="14"/>
        <v>Under 30</v>
      </c>
      <c r="O158" t="str">
        <f t="shared" si="15"/>
        <v/>
      </c>
    </row>
    <row r="159" spans="1:15" x14ac:dyDescent="0.35">
      <c r="A159">
        <v>1158</v>
      </c>
      <c r="B159" t="s">
        <v>15</v>
      </c>
      <c r="C159" t="s">
        <v>20</v>
      </c>
      <c r="D159">
        <v>47</v>
      </c>
      <c r="E159" t="s">
        <v>12</v>
      </c>
      <c r="F159" s="1">
        <v>42130</v>
      </c>
      <c r="G159">
        <v>6015</v>
      </c>
      <c r="H159">
        <v>3</v>
      </c>
      <c r="I159">
        <v>5</v>
      </c>
      <c r="K159" t="str">
        <f t="shared" si="11"/>
        <v/>
      </c>
      <c r="L159" t="str">
        <f t="shared" si="12"/>
        <v>Active</v>
      </c>
      <c r="M159">
        <f t="shared" ca="1" si="13"/>
        <v>3851</v>
      </c>
      <c r="N159" t="str">
        <f t="shared" si="14"/>
        <v>40-49</v>
      </c>
      <c r="O159" t="str">
        <f t="shared" si="15"/>
        <v/>
      </c>
    </row>
    <row r="160" spans="1:15" x14ac:dyDescent="0.35">
      <c r="A160">
        <v>1159</v>
      </c>
      <c r="B160" t="s">
        <v>13</v>
      </c>
      <c r="C160" t="s">
        <v>14</v>
      </c>
      <c r="D160">
        <v>49</v>
      </c>
      <c r="E160" t="s">
        <v>12</v>
      </c>
      <c r="F160" s="1">
        <v>42097</v>
      </c>
      <c r="G160">
        <v>8799</v>
      </c>
      <c r="H160">
        <v>1</v>
      </c>
      <c r="I160">
        <v>1</v>
      </c>
      <c r="K160" t="str">
        <f t="shared" si="11"/>
        <v/>
      </c>
      <c r="L160" t="str">
        <f t="shared" si="12"/>
        <v>Active</v>
      </c>
      <c r="M160">
        <f t="shared" ca="1" si="13"/>
        <v>3884</v>
      </c>
      <c r="N160" t="str">
        <f t="shared" si="14"/>
        <v>40-49</v>
      </c>
      <c r="O160" t="str">
        <f t="shared" si="15"/>
        <v/>
      </c>
    </row>
    <row r="161" spans="1:15" x14ac:dyDescent="0.35">
      <c r="A161">
        <v>1160</v>
      </c>
      <c r="B161" t="s">
        <v>16</v>
      </c>
      <c r="C161" t="s">
        <v>11</v>
      </c>
      <c r="D161">
        <v>23</v>
      </c>
      <c r="E161" t="s">
        <v>21</v>
      </c>
      <c r="F161" s="1">
        <v>42509</v>
      </c>
      <c r="G161">
        <v>7330</v>
      </c>
      <c r="H161">
        <v>1</v>
      </c>
      <c r="I161">
        <v>1</v>
      </c>
      <c r="K161" t="str">
        <f t="shared" si="11"/>
        <v/>
      </c>
      <c r="L161" t="str">
        <f t="shared" si="12"/>
        <v>Active</v>
      </c>
      <c r="M161">
        <f t="shared" ca="1" si="13"/>
        <v>3472</v>
      </c>
      <c r="N161" t="str">
        <f t="shared" si="14"/>
        <v>Under 30</v>
      </c>
      <c r="O161" t="str">
        <f t="shared" si="15"/>
        <v/>
      </c>
    </row>
    <row r="162" spans="1:15" x14ac:dyDescent="0.35">
      <c r="A162">
        <v>1161</v>
      </c>
      <c r="B162" t="s">
        <v>16</v>
      </c>
      <c r="C162" t="s">
        <v>11</v>
      </c>
      <c r="D162">
        <v>27</v>
      </c>
      <c r="E162" t="s">
        <v>12</v>
      </c>
      <c r="F162" s="1">
        <v>42566</v>
      </c>
      <c r="G162">
        <v>7532</v>
      </c>
      <c r="H162">
        <v>5</v>
      </c>
      <c r="I162">
        <v>12</v>
      </c>
      <c r="K162" t="str">
        <f t="shared" si="11"/>
        <v/>
      </c>
      <c r="L162" t="str">
        <f t="shared" si="12"/>
        <v>Active</v>
      </c>
      <c r="M162">
        <f t="shared" ca="1" si="13"/>
        <v>3415</v>
      </c>
      <c r="N162" t="str">
        <f t="shared" si="14"/>
        <v>Under 30</v>
      </c>
      <c r="O162" t="str">
        <f t="shared" si="15"/>
        <v/>
      </c>
    </row>
    <row r="163" spans="1:15" x14ac:dyDescent="0.35">
      <c r="A163">
        <v>1162</v>
      </c>
      <c r="B163" t="s">
        <v>16</v>
      </c>
      <c r="C163" t="s">
        <v>11</v>
      </c>
      <c r="D163">
        <v>30</v>
      </c>
      <c r="E163" t="s">
        <v>21</v>
      </c>
      <c r="F163" s="1">
        <v>44099</v>
      </c>
      <c r="G163">
        <v>6550</v>
      </c>
      <c r="H163">
        <v>1</v>
      </c>
      <c r="I163">
        <v>14</v>
      </c>
      <c r="K163" t="str">
        <f t="shared" si="11"/>
        <v/>
      </c>
      <c r="L163" t="str">
        <f t="shared" si="12"/>
        <v>Active</v>
      </c>
      <c r="M163">
        <f t="shared" ca="1" si="13"/>
        <v>1882</v>
      </c>
      <c r="N163" t="str">
        <f t="shared" si="14"/>
        <v>30-39</v>
      </c>
      <c r="O163" t="str">
        <f t="shared" si="15"/>
        <v/>
      </c>
    </row>
    <row r="164" spans="1:15" x14ac:dyDescent="0.35">
      <c r="A164">
        <v>1163</v>
      </c>
      <c r="B164" t="s">
        <v>13</v>
      </c>
      <c r="C164" t="s">
        <v>11</v>
      </c>
      <c r="D164">
        <v>54</v>
      </c>
      <c r="E164" t="s">
        <v>12</v>
      </c>
      <c r="F164" s="1">
        <v>44400</v>
      </c>
      <c r="G164">
        <v>5957</v>
      </c>
      <c r="H164">
        <v>1</v>
      </c>
      <c r="I164">
        <v>1</v>
      </c>
      <c r="K164" t="str">
        <f t="shared" si="11"/>
        <v/>
      </c>
      <c r="L164" t="str">
        <f t="shared" si="12"/>
        <v>Active</v>
      </c>
      <c r="M164">
        <f t="shared" ca="1" si="13"/>
        <v>1581</v>
      </c>
      <c r="N164" t="str">
        <f t="shared" si="14"/>
        <v>50+</v>
      </c>
      <c r="O164" t="str">
        <f t="shared" si="15"/>
        <v/>
      </c>
    </row>
    <row r="165" spans="1:15" x14ac:dyDescent="0.35">
      <c r="A165">
        <v>1164</v>
      </c>
      <c r="B165" t="s">
        <v>13</v>
      </c>
      <c r="C165" t="s">
        <v>11</v>
      </c>
      <c r="D165">
        <v>46</v>
      </c>
      <c r="E165" t="s">
        <v>18</v>
      </c>
      <c r="F165" s="1">
        <v>43590</v>
      </c>
      <c r="G165">
        <v>7483</v>
      </c>
      <c r="H165">
        <v>1</v>
      </c>
      <c r="I165">
        <v>6</v>
      </c>
      <c r="K165" t="str">
        <f t="shared" si="11"/>
        <v/>
      </c>
      <c r="L165" t="str">
        <f t="shared" si="12"/>
        <v>Active</v>
      </c>
      <c r="M165">
        <f t="shared" ca="1" si="13"/>
        <v>2391</v>
      </c>
      <c r="N165" t="str">
        <f t="shared" si="14"/>
        <v>40-49</v>
      </c>
      <c r="O165" t="str">
        <f t="shared" si="15"/>
        <v/>
      </c>
    </row>
    <row r="166" spans="1:15" x14ac:dyDescent="0.35">
      <c r="A166">
        <v>1165</v>
      </c>
      <c r="B166" t="s">
        <v>15</v>
      </c>
      <c r="C166" t="s">
        <v>11</v>
      </c>
      <c r="D166">
        <v>34</v>
      </c>
      <c r="E166" t="s">
        <v>12</v>
      </c>
      <c r="F166" s="1">
        <v>42305</v>
      </c>
      <c r="G166">
        <v>3143</v>
      </c>
      <c r="H166">
        <v>5</v>
      </c>
      <c r="I166">
        <v>2</v>
      </c>
      <c r="K166" t="str">
        <f t="shared" si="11"/>
        <v/>
      </c>
      <c r="L166" t="str">
        <f t="shared" si="12"/>
        <v>Active</v>
      </c>
      <c r="M166">
        <f t="shared" ca="1" si="13"/>
        <v>3676</v>
      </c>
      <c r="N166" t="str">
        <f t="shared" si="14"/>
        <v>30-39</v>
      </c>
      <c r="O166" t="str">
        <f t="shared" si="15"/>
        <v/>
      </c>
    </row>
    <row r="167" spans="1:15" x14ac:dyDescent="0.35">
      <c r="A167">
        <v>1166</v>
      </c>
      <c r="B167" t="s">
        <v>19</v>
      </c>
      <c r="C167" t="s">
        <v>11</v>
      </c>
      <c r="D167">
        <v>30</v>
      </c>
      <c r="E167" t="s">
        <v>12</v>
      </c>
      <c r="F167" s="1">
        <v>42287</v>
      </c>
      <c r="G167">
        <v>8213</v>
      </c>
      <c r="H167">
        <v>3</v>
      </c>
      <c r="I167">
        <v>7</v>
      </c>
      <c r="K167" t="str">
        <f t="shared" si="11"/>
        <v/>
      </c>
      <c r="L167" t="str">
        <f t="shared" si="12"/>
        <v>Active</v>
      </c>
      <c r="M167">
        <f t="shared" ca="1" si="13"/>
        <v>3694</v>
      </c>
      <c r="N167" t="str">
        <f t="shared" si="14"/>
        <v>30-39</v>
      </c>
      <c r="O167" t="str">
        <f t="shared" si="15"/>
        <v/>
      </c>
    </row>
    <row r="168" spans="1:15" x14ac:dyDescent="0.35">
      <c r="A168">
        <v>1167</v>
      </c>
      <c r="B168" t="s">
        <v>15</v>
      </c>
      <c r="C168" t="s">
        <v>11</v>
      </c>
      <c r="D168">
        <v>34</v>
      </c>
      <c r="E168" t="s">
        <v>12</v>
      </c>
      <c r="F168" s="1">
        <v>42923</v>
      </c>
      <c r="G168">
        <v>8875</v>
      </c>
      <c r="H168">
        <v>3</v>
      </c>
      <c r="I168">
        <v>13</v>
      </c>
      <c r="K168" t="str">
        <f t="shared" si="11"/>
        <v/>
      </c>
      <c r="L168" t="str">
        <f t="shared" si="12"/>
        <v>Active</v>
      </c>
      <c r="M168">
        <f t="shared" ca="1" si="13"/>
        <v>3058</v>
      </c>
      <c r="N168" t="str">
        <f t="shared" si="14"/>
        <v>30-39</v>
      </c>
      <c r="O168" t="str">
        <f t="shared" si="15"/>
        <v/>
      </c>
    </row>
    <row r="169" spans="1:15" x14ac:dyDescent="0.35">
      <c r="A169">
        <v>1168</v>
      </c>
      <c r="B169" t="s">
        <v>15</v>
      </c>
      <c r="C169" t="s">
        <v>11</v>
      </c>
      <c r="D169">
        <v>52</v>
      </c>
      <c r="E169" t="s">
        <v>21</v>
      </c>
      <c r="F169" s="1">
        <v>42668</v>
      </c>
      <c r="G169">
        <v>7466</v>
      </c>
      <c r="H169">
        <v>1</v>
      </c>
      <c r="I169">
        <v>6</v>
      </c>
      <c r="K169" t="str">
        <f t="shared" si="11"/>
        <v/>
      </c>
      <c r="L169" t="str">
        <f t="shared" si="12"/>
        <v>Active</v>
      </c>
      <c r="M169">
        <f t="shared" ca="1" si="13"/>
        <v>3313</v>
      </c>
      <c r="N169" t="str">
        <f t="shared" si="14"/>
        <v>50+</v>
      </c>
      <c r="O169" t="str">
        <f t="shared" si="15"/>
        <v/>
      </c>
    </row>
    <row r="170" spans="1:15" x14ac:dyDescent="0.35">
      <c r="A170">
        <v>1169</v>
      </c>
      <c r="B170" t="s">
        <v>13</v>
      </c>
      <c r="C170" t="s">
        <v>11</v>
      </c>
      <c r="D170">
        <v>32</v>
      </c>
      <c r="E170" t="s">
        <v>21</v>
      </c>
      <c r="F170" s="1">
        <v>43602</v>
      </c>
      <c r="G170">
        <v>3410</v>
      </c>
      <c r="H170">
        <v>5</v>
      </c>
      <c r="I170">
        <v>20</v>
      </c>
      <c r="K170" t="str">
        <f t="shared" si="11"/>
        <v/>
      </c>
      <c r="L170" t="str">
        <f t="shared" si="12"/>
        <v>Active</v>
      </c>
      <c r="M170">
        <f t="shared" ca="1" si="13"/>
        <v>2379</v>
      </c>
      <c r="N170" t="str">
        <f t="shared" si="14"/>
        <v>30-39</v>
      </c>
      <c r="O170" t="str">
        <f t="shared" si="15"/>
        <v/>
      </c>
    </row>
    <row r="171" spans="1:15" x14ac:dyDescent="0.35">
      <c r="A171">
        <v>1170</v>
      </c>
      <c r="B171" t="s">
        <v>16</v>
      </c>
      <c r="C171" t="s">
        <v>14</v>
      </c>
      <c r="D171">
        <v>25</v>
      </c>
      <c r="E171" t="s">
        <v>12</v>
      </c>
      <c r="F171" s="1">
        <v>43897</v>
      </c>
      <c r="G171">
        <v>4527</v>
      </c>
      <c r="H171">
        <v>3</v>
      </c>
      <c r="I171">
        <v>6</v>
      </c>
      <c r="K171" t="str">
        <f t="shared" si="11"/>
        <v/>
      </c>
      <c r="L171" t="str">
        <f t="shared" si="12"/>
        <v>Active</v>
      </c>
      <c r="M171">
        <f t="shared" ca="1" si="13"/>
        <v>2084</v>
      </c>
      <c r="N171" t="str">
        <f t="shared" si="14"/>
        <v>Under 30</v>
      </c>
      <c r="O171" t="str">
        <f t="shared" si="15"/>
        <v/>
      </c>
    </row>
    <row r="172" spans="1:15" x14ac:dyDescent="0.35">
      <c r="A172">
        <v>1171</v>
      </c>
      <c r="B172" t="s">
        <v>10</v>
      </c>
      <c r="C172" t="s">
        <v>14</v>
      </c>
      <c r="D172">
        <v>55</v>
      </c>
      <c r="E172" t="s">
        <v>12</v>
      </c>
      <c r="F172" s="1">
        <v>44399</v>
      </c>
      <c r="G172">
        <v>5090</v>
      </c>
      <c r="H172">
        <v>3</v>
      </c>
      <c r="I172">
        <v>0</v>
      </c>
      <c r="K172" t="str">
        <f t="shared" si="11"/>
        <v/>
      </c>
      <c r="L172" t="str">
        <f t="shared" si="12"/>
        <v>Active</v>
      </c>
      <c r="M172">
        <f t="shared" ca="1" si="13"/>
        <v>1582</v>
      </c>
      <c r="N172" t="str">
        <f t="shared" si="14"/>
        <v>50+</v>
      </c>
      <c r="O172" t="str">
        <f t="shared" si="15"/>
        <v/>
      </c>
    </row>
    <row r="173" spans="1:15" x14ac:dyDescent="0.35">
      <c r="A173">
        <v>1172</v>
      </c>
      <c r="B173" t="s">
        <v>19</v>
      </c>
      <c r="C173" t="s">
        <v>14</v>
      </c>
      <c r="D173">
        <v>59</v>
      </c>
      <c r="E173" t="s">
        <v>21</v>
      </c>
      <c r="F173" s="1">
        <v>43430</v>
      </c>
      <c r="G173">
        <v>4654</v>
      </c>
      <c r="H173">
        <v>3</v>
      </c>
      <c r="I173">
        <v>16</v>
      </c>
      <c r="J173" s="1">
        <v>44224</v>
      </c>
      <c r="K173">
        <f t="shared" si="11"/>
        <v>44224</v>
      </c>
      <c r="L173" t="str">
        <f t="shared" si="12"/>
        <v>Exited</v>
      </c>
      <c r="M173">
        <f t="shared" ca="1" si="13"/>
        <v>794</v>
      </c>
      <c r="N173" t="str">
        <f t="shared" si="14"/>
        <v>50+</v>
      </c>
      <c r="O173" t="str">
        <f t="shared" si="15"/>
        <v/>
      </c>
    </row>
    <row r="174" spans="1:15" x14ac:dyDescent="0.35">
      <c r="A174">
        <v>1173</v>
      </c>
      <c r="B174" t="s">
        <v>13</v>
      </c>
      <c r="C174" t="s">
        <v>14</v>
      </c>
      <c r="D174">
        <v>25</v>
      </c>
      <c r="E174" t="s">
        <v>12</v>
      </c>
      <c r="F174" s="1">
        <v>44512</v>
      </c>
      <c r="G174">
        <v>5408</v>
      </c>
      <c r="H174">
        <v>5</v>
      </c>
      <c r="I174">
        <v>8</v>
      </c>
      <c r="K174" t="str">
        <f t="shared" si="11"/>
        <v/>
      </c>
      <c r="L174" t="str">
        <f t="shared" si="12"/>
        <v>Active</v>
      </c>
      <c r="M174">
        <f t="shared" ca="1" si="13"/>
        <v>1469</v>
      </c>
      <c r="N174" t="str">
        <f t="shared" si="14"/>
        <v>Under 30</v>
      </c>
      <c r="O174" t="str">
        <f t="shared" si="15"/>
        <v/>
      </c>
    </row>
    <row r="175" spans="1:15" x14ac:dyDescent="0.35">
      <c r="A175">
        <v>1174</v>
      </c>
      <c r="B175" t="s">
        <v>16</v>
      </c>
      <c r="C175" t="s">
        <v>14</v>
      </c>
      <c r="D175">
        <v>59</v>
      </c>
      <c r="E175" t="s">
        <v>21</v>
      </c>
      <c r="F175" s="1">
        <v>44617</v>
      </c>
      <c r="G175">
        <v>7855</v>
      </c>
      <c r="H175">
        <v>5</v>
      </c>
      <c r="I175">
        <v>20</v>
      </c>
      <c r="K175" t="str">
        <f t="shared" si="11"/>
        <v/>
      </c>
      <c r="L175" t="str">
        <f t="shared" si="12"/>
        <v>Active</v>
      </c>
      <c r="M175">
        <f t="shared" ca="1" si="13"/>
        <v>1364</v>
      </c>
      <c r="N175" t="str">
        <f t="shared" si="14"/>
        <v>50+</v>
      </c>
      <c r="O175" t="str">
        <f t="shared" si="15"/>
        <v/>
      </c>
    </row>
    <row r="176" spans="1:15" x14ac:dyDescent="0.35">
      <c r="A176">
        <v>1175</v>
      </c>
      <c r="B176" t="s">
        <v>10</v>
      </c>
      <c r="C176" t="s">
        <v>11</v>
      </c>
      <c r="D176">
        <v>40</v>
      </c>
      <c r="E176" t="s">
        <v>21</v>
      </c>
      <c r="F176" s="1">
        <v>42355</v>
      </c>
      <c r="G176">
        <v>4879</v>
      </c>
      <c r="H176">
        <v>1</v>
      </c>
      <c r="I176">
        <v>12</v>
      </c>
      <c r="K176" t="str">
        <f t="shared" si="11"/>
        <v/>
      </c>
      <c r="L176" t="str">
        <f t="shared" si="12"/>
        <v>Active</v>
      </c>
      <c r="M176">
        <f t="shared" ca="1" si="13"/>
        <v>3626</v>
      </c>
      <c r="N176" t="str">
        <f t="shared" si="14"/>
        <v>40-49</v>
      </c>
      <c r="O176" t="str">
        <f t="shared" si="15"/>
        <v/>
      </c>
    </row>
    <row r="177" spans="1:15" x14ac:dyDescent="0.35">
      <c r="A177">
        <v>1176</v>
      </c>
      <c r="B177" t="s">
        <v>10</v>
      </c>
      <c r="C177" t="s">
        <v>14</v>
      </c>
      <c r="D177">
        <v>27</v>
      </c>
      <c r="E177" t="s">
        <v>12</v>
      </c>
      <c r="F177" s="1">
        <v>44087</v>
      </c>
      <c r="G177">
        <v>9334</v>
      </c>
      <c r="H177">
        <v>4</v>
      </c>
      <c r="I177">
        <v>20</v>
      </c>
      <c r="J177" s="1">
        <v>45464</v>
      </c>
      <c r="K177">
        <f t="shared" si="11"/>
        <v>45464</v>
      </c>
      <c r="L177" t="str">
        <f t="shared" si="12"/>
        <v>Exited</v>
      </c>
      <c r="M177">
        <f t="shared" ca="1" si="13"/>
        <v>1377</v>
      </c>
      <c r="N177" t="str">
        <f t="shared" si="14"/>
        <v>Under 30</v>
      </c>
      <c r="O177" t="str">
        <f t="shared" si="15"/>
        <v/>
      </c>
    </row>
    <row r="178" spans="1:15" x14ac:dyDescent="0.35">
      <c r="A178">
        <v>1177</v>
      </c>
      <c r="B178" t="s">
        <v>13</v>
      </c>
      <c r="C178" t="s">
        <v>11</v>
      </c>
      <c r="D178">
        <v>55</v>
      </c>
      <c r="E178" t="s">
        <v>12</v>
      </c>
      <c r="F178" s="1">
        <v>44854</v>
      </c>
      <c r="G178">
        <v>5124</v>
      </c>
      <c r="H178">
        <v>3</v>
      </c>
      <c r="I178">
        <v>18</v>
      </c>
      <c r="J178" s="1">
        <v>45319</v>
      </c>
      <c r="K178">
        <f t="shared" si="11"/>
        <v>45319</v>
      </c>
      <c r="L178" t="str">
        <f t="shared" si="12"/>
        <v>Exited</v>
      </c>
      <c r="M178">
        <f t="shared" ca="1" si="13"/>
        <v>465</v>
      </c>
      <c r="N178" t="str">
        <f t="shared" si="14"/>
        <v>50+</v>
      </c>
      <c r="O178" t="str">
        <f t="shared" si="15"/>
        <v/>
      </c>
    </row>
    <row r="179" spans="1:15" x14ac:dyDescent="0.35">
      <c r="A179">
        <v>1178</v>
      </c>
      <c r="B179" t="s">
        <v>17</v>
      </c>
      <c r="C179" t="s">
        <v>14</v>
      </c>
      <c r="D179">
        <v>39</v>
      </c>
      <c r="E179" t="s">
        <v>12</v>
      </c>
      <c r="F179" s="1">
        <v>43763</v>
      </c>
      <c r="G179">
        <v>7427</v>
      </c>
      <c r="H179">
        <v>4</v>
      </c>
      <c r="I179">
        <v>20</v>
      </c>
      <c r="K179" t="str">
        <f t="shared" si="11"/>
        <v/>
      </c>
      <c r="L179" t="str">
        <f t="shared" si="12"/>
        <v>Active</v>
      </c>
      <c r="M179">
        <f t="shared" ca="1" si="13"/>
        <v>2218</v>
      </c>
      <c r="N179" t="str">
        <f t="shared" si="14"/>
        <v>30-39</v>
      </c>
      <c r="O179" t="str">
        <f t="shared" si="15"/>
        <v/>
      </c>
    </row>
    <row r="180" spans="1:15" x14ac:dyDescent="0.35">
      <c r="A180">
        <v>1179</v>
      </c>
      <c r="B180" t="s">
        <v>19</v>
      </c>
      <c r="C180" t="s">
        <v>11</v>
      </c>
      <c r="D180">
        <v>34</v>
      </c>
      <c r="E180" t="s">
        <v>12</v>
      </c>
      <c r="F180" s="1">
        <v>43438</v>
      </c>
      <c r="G180">
        <v>3977</v>
      </c>
      <c r="H180">
        <v>5</v>
      </c>
      <c r="I180">
        <v>18</v>
      </c>
      <c r="K180" t="str">
        <f t="shared" si="11"/>
        <v/>
      </c>
      <c r="L180" t="str">
        <f t="shared" si="12"/>
        <v>Active</v>
      </c>
      <c r="M180">
        <f t="shared" ca="1" si="13"/>
        <v>2543</v>
      </c>
      <c r="N180" t="str">
        <f t="shared" si="14"/>
        <v>30-39</v>
      </c>
      <c r="O180" t="str">
        <f t="shared" si="15"/>
        <v/>
      </c>
    </row>
    <row r="181" spans="1:15" x14ac:dyDescent="0.35">
      <c r="A181">
        <v>1180</v>
      </c>
      <c r="B181" t="s">
        <v>10</v>
      </c>
      <c r="C181" t="s">
        <v>20</v>
      </c>
      <c r="D181">
        <v>44</v>
      </c>
      <c r="E181" t="s">
        <v>21</v>
      </c>
      <c r="F181" s="1">
        <v>42379</v>
      </c>
      <c r="G181">
        <v>9326</v>
      </c>
      <c r="H181">
        <v>5</v>
      </c>
      <c r="I181">
        <v>16</v>
      </c>
      <c r="K181" t="str">
        <f t="shared" si="11"/>
        <v/>
      </c>
      <c r="L181" t="str">
        <f t="shared" si="12"/>
        <v>Active</v>
      </c>
      <c r="M181">
        <f t="shared" ca="1" si="13"/>
        <v>3602</v>
      </c>
      <c r="N181" t="str">
        <f t="shared" si="14"/>
        <v>40-49</v>
      </c>
      <c r="O181" t="str">
        <f t="shared" si="15"/>
        <v/>
      </c>
    </row>
    <row r="182" spans="1:15" x14ac:dyDescent="0.35">
      <c r="A182">
        <v>1181</v>
      </c>
      <c r="B182" t="s">
        <v>13</v>
      </c>
      <c r="C182" t="s">
        <v>14</v>
      </c>
      <c r="D182">
        <v>40</v>
      </c>
      <c r="E182" t="s">
        <v>12</v>
      </c>
      <c r="F182" s="1">
        <v>43985</v>
      </c>
      <c r="G182">
        <v>3891</v>
      </c>
      <c r="H182">
        <v>5</v>
      </c>
      <c r="I182">
        <v>9</v>
      </c>
      <c r="K182" t="str">
        <f t="shared" si="11"/>
        <v/>
      </c>
      <c r="L182" t="str">
        <f t="shared" si="12"/>
        <v>Active</v>
      </c>
      <c r="M182">
        <f t="shared" ca="1" si="13"/>
        <v>1996</v>
      </c>
      <c r="N182" t="str">
        <f t="shared" si="14"/>
        <v>40-49</v>
      </c>
      <c r="O182" t="str">
        <f t="shared" si="15"/>
        <v/>
      </c>
    </row>
    <row r="183" spans="1:15" x14ac:dyDescent="0.35">
      <c r="A183">
        <v>1182</v>
      </c>
      <c r="B183" t="s">
        <v>13</v>
      </c>
      <c r="C183" t="s">
        <v>11</v>
      </c>
      <c r="D183">
        <v>32</v>
      </c>
      <c r="E183" t="s">
        <v>21</v>
      </c>
      <c r="F183" s="1">
        <v>44021</v>
      </c>
      <c r="G183">
        <v>8797</v>
      </c>
      <c r="H183">
        <v>4</v>
      </c>
      <c r="I183">
        <v>9</v>
      </c>
      <c r="K183" t="str">
        <f t="shared" si="11"/>
        <v/>
      </c>
      <c r="L183" t="str">
        <f t="shared" si="12"/>
        <v>Active</v>
      </c>
      <c r="M183">
        <f t="shared" ca="1" si="13"/>
        <v>1960</v>
      </c>
      <c r="N183" t="str">
        <f t="shared" si="14"/>
        <v>30-39</v>
      </c>
      <c r="O183" t="str">
        <f t="shared" si="15"/>
        <v/>
      </c>
    </row>
    <row r="184" spans="1:15" x14ac:dyDescent="0.35">
      <c r="A184">
        <v>1183</v>
      </c>
      <c r="B184" t="s">
        <v>16</v>
      </c>
      <c r="C184" t="s">
        <v>14</v>
      </c>
      <c r="D184">
        <v>22</v>
      </c>
      <c r="E184" t="s">
        <v>12</v>
      </c>
      <c r="F184" s="1">
        <v>42229</v>
      </c>
      <c r="G184">
        <v>7779</v>
      </c>
      <c r="H184">
        <v>5</v>
      </c>
      <c r="I184">
        <v>3</v>
      </c>
      <c r="K184" t="str">
        <f t="shared" si="11"/>
        <v/>
      </c>
      <c r="L184" t="str">
        <f t="shared" si="12"/>
        <v>Active</v>
      </c>
      <c r="M184">
        <f t="shared" ca="1" si="13"/>
        <v>3752</v>
      </c>
      <c r="N184" t="str">
        <f t="shared" si="14"/>
        <v>Under 30</v>
      </c>
      <c r="O184" t="str">
        <f t="shared" si="15"/>
        <v/>
      </c>
    </row>
    <row r="185" spans="1:15" x14ac:dyDescent="0.35">
      <c r="A185">
        <v>1184</v>
      </c>
      <c r="B185" t="s">
        <v>17</v>
      </c>
      <c r="C185" t="s">
        <v>11</v>
      </c>
      <c r="D185">
        <v>45</v>
      </c>
      <c r="E185" t="s">
        <v>18</v>
      </c>
      <c r="F185" s="1">
        <v>45217</v>
      </c>
      <c r="G185">
        <v>9157</v>
      </c>
      <c r="H185">
        <v>1</v>
      </c>
      <c r="I185">
        <v>7</v>
      </c>
      <c r="K185" t="str">
        <f t="shared" si="11"/>
        <v/>
      </c>
      <c r="L185" t="str">
        <f t="shared" si="12"/>
        <v>Active</v>
      </c>
      <c r="M185">
        <f t="shared" ca="1" si="13"/>
        <v>764</v>
      </c>
      <c r="N185" t="str">
        <f t="shared" si="14"/>
        <v>40-49</v>
      </c>
      <c r="O185" t="str">
        <f t="shared" si="15"/>
        <v/>
      </c>
    </row>
    <row r="186" spans="1:15" x14ac:dyDescent="0.35">
      <c r="A186">
        <v>1185</v>
      </c>
      <c r="B186" t="s">
        <v>19</v>
      </c>
      <c r="C186" t="s">
        <v>14</v>
      </c>
      <c r="D186">
        <v>28</v>
      </c>
      <c r="E186" t="s">
        <v>12</v>
      </c>
      <c r="F186" s="1">
        <v>44089</v>
      </c>
      <c r="G186">
        <v>8574</v>
      </c>
      <c r="H186">
        <v>5</v>
      </c>
      <c r="I186">
        <v>19</v>
      </c>
      <c r="K186" t="str">
        <f t="shared" si="11"/>
        <v/>
      </c>
      <c r="L186" t="str">
        <f t="shared" si="12"/>
        <v>Active</v>
      </c>
      <c r="M186">
        <f t="shared" ca="1" si="13"/>
        <v>1892</v>
      </c>
      <c r="N186" t="str">
        <f t="shared" si="14"/>
        <v>Under 30</v>
      </c>
      <c r="O186" t="str">
        <f t="shared" si="15"/>
        <v/>
      </c>
    </row>
    <row r="187" spans="1:15" x14ac:dyDescent="0.35">
      <c r="A187">
        <v>1186</v>
      </c>
      <c r="B187" t="s">
        <v>15</v>
      </c>
      <c r="C187" t="s">
        <v>11</v>
      </c>
      <c r="D187">
        <v>46</v>
      </c>
      <c r="E187" t="s">
        <v>12</v>
      </c>
      <c r="F187" s="1">
        <v>42770</v>
      </c>
      <c r="G187">
        <v>9319</v>
      </c>
      <c r="H187">
        <v>2</v>
      </c>
      <c r="I187">
        <v>19</v>
      </c>
      <c r="K187" t="str">
        <f t="shared" si="11"/>
        <v/>
      </c>
      <c r="L187" t="str">
        <f t="shared" si="12"/>
        <v>Active</v>
      </c>
      <c r="M187">
        <f t="shared" ca="1" si="13"/>
        <v>3211</v>
      </c>
      <c r="N187" t="str">
        <f t="shared" si="14"/>
        <v>40-49</v>
      </c>
      <c r="O187" t="str">
        <f t="shared" si="15"/>
        <v/>
      </c>
    </row>
    <row r="188" spans="1:15" x14ac:dyDescent="0.35">
      <c r="A188">
        <v>1187</v>
      </c>
      <c r="B188" t="s">
        <v>16</v>
      </c>
      <c r="C188" t="s">
        <v>14</v>
      </c>
      <c r="D188">
        <v>42</v>
      </c>
      <c r="E188" t="s">
        <v>12</v>
      </c>
      <c r="F188" s="1">
        <v>43419</v>
      </c>
      <c r="G188">
        <v>5591</v>
      </c>
      <c r="H188">
        <v>4</v>
      </c>
      <c r="I188">
        <v>17</v>
      </c>
      <c r="J188" s="1">
        <v>44439</v>
      </c>
      <c r="K188">
        <f t="shared" si="11"/>
        <v>44439</v>
      </c>
      <c r="L188" t="str">
        <f t="shared" si="12"/>
        <v>Exited</v>
      </c>
      <c r="M188">
        <f t="shared" ca="1" si="13"/>
        <v>1020</v>
      </c>
      <c r="N188" t="str">
        <f t="shared" si="14"/>
        <v>40-49</v>
      </c>
      <c r="O188" t="str">
        <f t="shared" si="15"/>
        <v/>
      </c>
    </row>
    <row r="189" spans="1:15" x14ac:dyDescent="0.35">
      <c r="A189">
        <v>1188</v>
      </c>
      <c r="B189" t="s">
        <v>10</v>
      </c>
      <c r="C189" t="s">
        <v>11</v>
      </c>
      <c r="D189">
        <v>36</v>
      </c>
      <c r="E189" t="s">
        <v>12</v>
      </c>
      <c r="F189" s="1">
        <v>43395</v>
      </c>
      <c r="G189">
        <v>9156</v>
      </c>
      <c r="H189">
        <v>2</v>
      </c>
      <c r="I189">
        <v>13</v>
      </c>
      <c r="K189" t="str">
        <f t="shared" si="11"/>
        <v/>
      </c>
      <c r="L189" t="str">
        <f t="shared" si="12"/>
        <v>Active</v>
      </c>
      <c r="M189">
        <f t="shared" ca="1" si="13"/>
        <v>2586</v>
      </c>
      <c r="N189" t="str">
        <f t="shared" si="14"/>
        <v>30-39</v>
      </c>
      <c r="O189" t="str">
        <f t="shared" si="15"/>
        <v/>
      </c>
    </row>
    <row r="190" spans="1:15" x14ac:dyDescent="0.35">
      <c r="A190">
        <v>1189</v>
      </c>
      <c r="B190" t="s">
        <v>10</v>
      </c>
      <c r="C190" t="s">
        <v>11</v>
      </c>
      <c r="D190">
        <v>22</v>
      </c>
      <c r="E190" t="s">
        <v>12</v>
      </c>
      <c r="F190" s="1">
        <v>42768</v>
      </c>
      <c r="G190">
        <v>9022</v>
      </c>
      <c r="H190">
        <v>5</v>
      </c>
      <c r="I190">
        <v>17</v>
      </c>
      <c r="K190" t="str">
        <f t="shared" si="11"/>
        <v/>
      </c>
      <c r="L190" t="str">
        <f t="shared" si="12"/>
        <v>Active</v>
      </c>
      <c r="M190">
        <f t="shared" ca="1" si="13"/>
        <v>3213</v>
      </c>
      <c r="N190" t="str">
        <f t="shared" si="14"/>
        <v>Under 30</v>
      </c>
      <c r="O190" t="str">
        <f t="shared" si="15"/>
        <v/>
      </c>
    </row>
    <row r="191" spans="1:15" x14ac:dyDescent="0.35">
      <c r="A191">
        <v>1190</v>
      </c>
      <c r="B191" t="s">
        <v>16</v>
      </c>
      <c r="C191" t="s">
        <v>14</v>
      </c>
      <c r="D191">
        <v>33</v>
      </c>
      <c r="E191" t="s">
        <v>21</v>
      </c>
      <c r="F191" s="1">
        <v>42870</v>
      </c>
      <c r="G191">
        <v>4549</v>
      </c>
      <c r="H191">
        <v>1</v>
      </c>
      <c r="I191">
        <v>13</v>
      </c>
      <c r="K191" t="str">
        <f t="shared" si="11"/>
        <v/>
      </c>
      <c r="L191" t="str">
        <f t="shared" si="12"/>
        <v>Active</v>
      </c>
      <c r="M191">
        <f t="shared" ca="1" si="13"/>
        <v>3111</v>
      </c>
      <c r="N191" t="str">
        <f t="shared" si="14"/>
        <v>30-39</v>
      </c>
      <c r="O191" t="str">
        <f t="shared" si="15"/>
        <v/>
      </c>
    </row>
    <row r="192" spans="1:15" x14ac:dyDescent="0.35">
      <c r="A192">
        <v>1191</v>
      </c>
      <c r="B192" t="s">
        <v>13</v>
      </c>
      <c r="C192" t="s">
        <v>14</v>
      </c>
      <c r="D192">
        <v>28</v>
      </c>
      <c r="E192" t="s">
        <v>12</v>
      </c>
      <c r="F192" s="1">
        <v>42863</v>
      </c>
      <c r="G192">
        <v>5475</v>
      </c>
      <c r="H192">
        <v>3</v>
      </c>
      <c r="I192">
        <v>19</v>
      </c>
      <c r="K192" t="str">
        <f t="shared" si="11"/>
        <v/>
      </c>
      <c r="L192" t="str">
        <f t="shared" si="12"/>
        <v>Active</v>
      </c>
      <c r="M192">
        <f t="shared" ca="1" si="13"/>
        <v>3118</v>
      </c>
      <c r="N192" t="str">
        <f t="shared" si="14"/>
        <v>Under 30</v>
      </c>
      <c r="O192" t="str">
        <f t="shared" si="15"/>
        <v/>
      </c>
    </row>
    <row r="193" spans="1:15" x14ac:dyDescent="0.35">
      <c r="A193">
        <v>1192</v>
      </c>
      <c r="B193" t="s">
        <v>10</v>
      </c>
      <c r="C193" t="s">
        <v>14</v>
      </c>
      <c r="D193">
        <v>36</v>
      </c>
      <c r="E193" t="s">
        <v>12</v>
      </c>
      <c r="F193" s="1">
        <v>43259</v>
      </c>
      <c r="G193">
        <v>3581</v>
      </c>
      <c r="H193">
        <v>5</v>
      </c>
      <c r="I193">
        <v>20</v>
      </c>
      <c r="J193" s="1">
        <v>44561</v>
      </c>
      <c r="K193">
        <f t="shared" si="11"/>
        <v>44561</v>
      </c>
      <c r="L193" t="str">
        <f t="shared" si="12"/>
        <v>Exited</v>
      </c>
      <c r="M193">
        <f t="shared" ca="1" si="13"/>
        <v>1302</v>
      </c>
      <c r="N193" t="str">
        <f t="shared" si="14"/>
        <v>30-39</v>
      </c>
      <c r="O193" t="str">
        <f t="shared" si="15"/>
        <v/>
      </c>
    </row>
    <row r="194" spans="1:15" x14ac:dyDescent="0.35">
      <c r="A194">
        <v>1193</v>
      </c>
      <c r="B194" t="s">
        <v>17</v>
      </c>
      <c r="C194" t="s">
        <v>14</v>
      </c>
      <c r="D194">
        <v>42</v>
      </c>
      <c r="E194" t="s">
        <v>12</v>
      </c>
      <c r="F194" s="1">
        <v>44272</v>
      </c>
      <c r="G194">
        <v>5848</v>
      </c>
      <c r="H194">
        <v>1</v>
      </c>
      <c r="I194">
        <v>14</v>
      </c>
      <c r="J194" s="1">
        <v>45810</v>
      </c>
      <c r="K194">
        <f t="shared" si="11"/>
        <v>45810</v>
      </c>
      <c r="L194" t="str">
        <f t="shared" si="12"/>
        <v>Exited</v>
      </c>
      <c r="M194">
        <f t="shared" ca="1" si="13"/>
        <v>1538</v>
      </c>
      <c r="N194" t="str">
        <f t="shared" si="14"/>
        <v>40-49</v>
      </c>
      <c r="O194" t="str">
        <f t="shared" si="15"/>
        <v/>
      </c>
    </row>
    <row r="195" spans="1:15" x14ac:dyDescent="0.35">
      <c r="A195">
        <v>1194</v>
      </c>
      <c r="B195" t="s">
        <v>19</v>
      </c>
      <c r="C195" t="s">
        <v>11</v>
      </c>
      <c r="D195">
        <v>40</v>
      </c>
      <c r="E195" t="s">
        <v>12</v>
      </c>
      <c r="F195" s="1">
        <v>43324</v>
      </c>
      <c r="G195">
        <v>4905</v>
      </c>
      <c r="H195">
        <v>4</v>
      </c>
      <c r="I195">
        <v>3</v>
      </c>
      <c r="K195" t="str">
        <f t="shared" ref="K195:K258" si="16">IF(J195="", "", J195)</f>
        <v/>
      </c>
      <c r="L195" t="str">
        <f t="shared" ref="L195:L258" si="17">IF(J195="", "Active", "Exited")</f>
        <v>Active</v>
      </c>
      <c r="M195">
        <f t="shared" ref="M195:M258" ca="1" si="18">IF(L195="Active", TODAY()-F195, J195-F195)</f>
        <v>2657</v>
      </c>
      <c r="N195" t="str">
        <f t="shared" ref="N195:N258" si="19">IF(D195&lt;30,"Under 30",
IF(D195&lt;40,"30-39",
IF(D195&lt;50,"40-49","50+")))</f>
        <v>40-49</v>
      </c>
      <c r="O195" t="str">
        <f t="shared" ref="O195:O258" si="20">IF(AND(J195&lt;&gt;"", F195&lt;&gt;"", J195&lt;F195), "Invalid Exit Date", "")</f>
        <v/>
      </c>
    </row>
    <row r="196" spans="1:15" x14ac:dyDescent="0.35">
      <c r="A196">
        <v>1195</v>
      </c>
      <c r="B196" t="s">
        <v>17</v>
      </c>
      <c r="C196" t="s">
        <v>14</v>
      </c>
      <c r="D196">
        <v>50</v>
      </c>
      <c r="E196" t="s">
        <v>12</v>
      </c>
      <c r="F196" s="1">
        <v>44945</v>
      </c>
      <c r="G196">
        <v>6667</v>
      </c>
      <c r="H196">
        <v>2</v>
      </c>
      <c r="I196">
        <v>12</v>
      </c>
      <c r="J196" s="1">
        <v>45806</v>
      </c>
      <c r="K196">
        <f t="shared" si="16"/>
        <v>45806</v>
      </c>
      <c r="L196" t="str">
        <f t="shared" si="17"/>
        <v>Exited</v>
      </c>
      <c r="M196">
        <f t="shared" ca="1" si="18"/>
        <v>861</v>
      </c>
      <c r="N196" t="str">
        <f t="shared" si="19"/>
        <v>50+</v>
      </c>
      <c r="O196" t="str">
        <f t="shared" si="20"/>
        <v/>
      </c>
    </row>
    <row r="197" spans="1:15" x14ac:dyDescent="0.35">
      <c r="A197">
        <v>1196</v>
      </c>
      <c r="B197" t="s">
        <v>10</v>
      </c>
      <c r="C197" t="s">
        <v>14</v>
      </c>
      <c r="D197">
        <v>46</v>
      </c>
      <c r="E197" t="s">
        <v>18</v>
      </c>
      <c r="F197" s="1">
        <v>42165</v>
      </c>
      <c r="G197">
        <v>7776</v>
      </c>
      <c r="H197">
        <v>2</v>
      </c>
      <c r="I197">
        <v>7</v>
      </c>
      <c r="K197" t="str">
        <f t="shared" si="16"/>
        <v/>
      </c>
      <c r="L197" t="str">
        <f t="shared" si="17"/>
        <v>Active</v>
      </c>
      <c r="M197">
        <f t="shared" ca="1" si="18"/>
        <v>3816</v>
      </c>
      <c r="N197" t="str">
        <f t="shared" si="19"/>
        <v>40-49</v>
      </c>
      <c r="O197" t="str">
        <f t="shared" si="20"/>
        <v/>
      </c>
    </row>
    <row r="198" spans="1:15" x14ac:dyDescent="0.35">
      <c r="A198">
        <v>1197</v>
      </c>
      <c r="B198" t="s">
        <v>15</v>
      </c>
      <c r="C198" t="s">
        <v>14</v>
      </c>
      <c r="D198">
        <v>54</v>
      </c>
      <c r="E198" t="s">
        <v>18</v>
      </c>
      <c r="F198" s="1">
        <v>44660</v>
      </c>
      <c r="G198">
        <v>7342</v>
      </c>
      <c r="H198">
        <v>2</v>
      </c>
      <c r="I198">
        <v>17</v>
      </c>
      <c r="K198" t="str">
        <f t="shared" si="16"/>
        <v/>
      </c>
      <c r="L198" t="str">
        <f t="shared" si="17"/>
        <v>Active</v>
      </c>
      <c r="M198">
        <f t="shared" ca="1" si="18"/>
        <v>1321</v>
      </c>
      <c r="N198" t="str">
        <f t="shared" si="19"/>
        <v>50+</v>
      </c>
      <c r="O198" t="str">
        <f t="shared" si="20"/>
        <v/>
      </c>
    </row>
    <row r="199" spans="1:15" x14ac:dyDescent="0.35">
      <c r="A199">
        <v>1198</v>
      </c>
      <c r="B199" t="s">
        <v>19</v>
      </c>
      <c r="C199" t="s">
        <v>11</v>
      </c>
      <c r="D199">
        <v>53</v>
      </c>
      <c r="E199" t="s">
        <v>21</v>
      </c>
      <c r="F199" s="1">
        <v>44201</v>
      </c>
      <c r="G199">
        <v>4913</v>
      </c>
      <c r="H199">
        <v>4</v>
      </c>
      <c r="I199">
        <v>11</v>
      </c>
      <c r="J199" s="1">
        <v>45347</v>
      </c>
      <c r="K199">
        <f t="shared" si="16"/>
        <v>45347</v>
      </c>
      <c r="L199" t="str">
        <f t="shared" si="17"/>
        <v>Exited</v>
      </c>
      <c r="M199">
        <f t="shared" ca="1" si="18"/>
        <v>1146</v>
      </c>
      <c r="N199" t="str">
        <f t="shared" si="19"/>
        <v>50+</v>
      </c>
      <c r="O199" t="str">
        <f t="shared" si="20"/>
        <v/>
      </c>
    </row>
    <row r="200" spans="1:15" x14ac:dyDescent="0.35">
      <c r="A200">
        <v>1199</v>
      </c>
      <c r="B200" t="s">
        <v>19</v>
      </c>
      <c r="C200" t="s">
        <v>14</v>
      </c>
      <c r="D200">
        <v>56</v>
      </c>
      <c r="E200" t="s">
        <v>21</v>
      </c>
      <c r="F200" s="1">
        <v>42557</v>
      </c>
      <c r="G200">
        <v>8679</v>
      </c>
      <c r="H200">
        <v>1</v>
      </c>
      <c r="I200">
        <v>13</v>
      </c>
      <c r="K200" t="str">
        <f t="shared" si="16"/>
        <v/>
      </c>
      <c r="L200" t="str">
        <f t="shared" si="17"/>
        <v>Active</v>
      </c>
      <c r="M200">
        <f t="shared" ca="1" si="18"/>
        <v>3424</v>
      </c>
      <c r="N200" t="str">
        <f t="shared" si="19"/>
        <v>50+</v>
      </c>
      <c r="O200" t="str">
        <f t="shared" si="20"/>
        <v/>
      </c>
    </row>
    <row r="201" spans="1:15" x14ac:dyDescent="0.35">
      <c r="A201">
        <v>1200</v>
      </c>
      <c r="B201" t="s">
        <v>16</v>
      </c>
      <c r="C201" t="s">
        <v>14</v>
      </c>
      <c r="D201">
        <v>59</v>
      </c>
      <c r="E201" t="s">
        <v>12</v>
      </c>
      <c r="F201" s="1">
        <v>44824</v>
      </c>
      <c r="G201">
        <v>8173</v>
      </c>
      <c r="H201">
        <v>4</v>
      </c>
      <c r="I201">
        <v>1</v>
      </c>
      <c r="K201" t="str">
        <f t="shared" si="16"/>
        <v/>
      </c>
      <c r="L201" t="str">
        <f t="shared" si="17"/>
        <v>Active</v>
      </c>
      <c r="M201">
        <f t="shared" ca="1" si="18"/>
        <v>1157</v>
      </c>
      <c r="N201" t="str">
        <f t="shared" si="19"/>
        <v>50+</v>
      </c>
      <c r="O201" t="str">
        <f t="shared" si="20"/>
        <v/>
      </c>
    </row>
    <row r="202" spans="1:15" x14ac:dyDescent="0.35">
      <c r="A202">
        <v>1201</v>
      </c>
      <c r="B202" t="s">
        <v>16</v>
      </c>
      <c r="C202" t="s">
        <v>14</v>
      </c>
      <c r="D202">
        <v>47</v>
      </c>
      <c r="E202" t="s">
        <v>12</v>
      </c>
      <c r="F202" s="1">
        <v>42120</v>
      </c>
      <c r="G202">
        <v>6770</v>
      </c>
      <c r="H202">
        <v>2</v>
      </c>
      <c r="I202">
        <v>17</v>
      </c>
      <c r="K202" t="str">
        <f t="shared" si="16"/>
        <v/>
      </c>
      <c r="L202" t="str">
        <f t="shared" si="17"/>
        <v>Active</v>
      </c>
      <c r="M202">
        <f t="shared" ca="1" si="18"/>
        <v>3861</v>
      </c>
      <c r="N202" t="str">
        <f t="shared" si="19"/>
        <v>40-49</v>
      </c>
      <c r="O202" t="str">
        <f t="shared" si="20"/>
        <v/>
      </c>
    </row>
    <row r="203" spans="1:15" x14ac:dyDescent="0.35">
      <c r="A203">
        <v>1202</v>
      </c>
      <c r="B203" t="s">
        <v>15</v>
      </c>
      <c r="C203" t="s">
        <v>14</v>
      </c>
      <c r="D203">
        <v>32</v>
      </c>
      <c r="E203" t="s">
        <v>12</v>
      </c>
      <c r="F203" s="1">
        <v>45018</v>
      </c>
      <c r="G203">
        <v>4791</v>
      </c>
      <c r="H203">
        <v>5</v>
      </c>
      <c r="I203">
        <v>1</v>
      </c>
      <c r="K203" t="str">
        <f t="shared" si="16"/>
        <v/>
      </c>
      <c r="L203" t="str">
        <f t="shared" si="17"/>
        <v>Active</v>
      </c>
      <c r="M203">
        <f t="shared" ca="1" si="18"/>
        <v>963</v>
      </c>
      <c r="N203" t="str">
        <f t="shared" si="19"/>
        <v>30-39</v>
      </c>
      <c r="O203" t="str">
        <f t="shared" si="20"/>
        <v/>
      </c>
    </row>
    <row r="204" spans="1:15" x14ac:dyDescent="0.35">
      <c r="A204">
        <v>1203</v>
      </c>
      <c r="B204" t="s">
        <v>13</v>
      </c>
      <c r="C204" t="s">
        <v>11</v>
      </c>
      <c r="D204">
        <v>56</v>
      </c>
      <c r="E204" t="s">
        <v>21</v>
      </c>
      <c r="F204" s="1">
        <v>45104</v>
      </c>
      <c r="G204">
        <v>3867</v>
      </c>
      <c r="H204">
        <v>3</v>
      </c>
      <c r="I204">
        <v>10</v>
      </c>
      <c r="K204" t="str">
        <f t="shared" si="16"/>
        <v/>
      </c>
      <c r="L204" t="str">
        <f t="shared" si="17"/>
        <v>Active</v>
      </c>
      <c r="M204">
        <f t="shared" ca="1" si="18"/>
        <v>877</v>
      </c>
      <c r="N204" t="str">
        <f t="shared" si="19"/>
        <v>50+</v>
      </c>
      <c r="O204" t="str">
        <f t="shared" si="20"/>
        <v/>
      </c>
    </row>
    <row r="205" spans="1:15" x14ac:dyDescent="0.35">
      <c r="A205">
        <v>1204</v>
      </c>
      <c r="B205" t="s">
        <v>19</v>
      </c>
      <c r="C205" t="s">
        <v>14</v>
      </c>
      <c r="D205">
        <v>29</v>
      </c>
      <c r="E205" t="s">
        <v>12</v>
      </c>
      <c r="F205" s="1">
        <v>42728</v>
      </c>
      <c r="G205">
        <v>4377</v>
      </c>
      <c r="H205">
        <v>4</v>
      </c>
      <c r="I205">
        <v>8</v>
      </c>
      <c r="J205" s="1">
        <v>43487</v>
      </c>
      <c r="K205">
        <f t="shared" si="16"/>
        <v>43487</v>
      </c>
      <c r="L205" t="str">
        <f t="shared" si="17"/>
        <v>Exited</v>
      </c>
      <c r="M205">
        <f t="shared" ca="1" si="18"/>
        <v>759</v>
      </c>
      <c r="N205" t="str">
        <f t="shared" si="19"/>
        <v>Under 30</v>
      </c>
      <c r="O205" t="str">
        <f t="shared" si="20"/>
        <v/>
      </c>
    </row>
    <row r="206" spans="1:15" x14ac:dyDescent="0.35">
      <c r="A206">
        <v>1205</v>
      </c>
      <c r="B206" t="s">
        <v>15</v>
      </c>
      <c r="C206" t="s">
        <v>14</v>
      </c>
      <c r="D206">
        <v>35</v>
      </c>
      <c r="E206" t="s">
        <v>12</v>
      </c>
      <c r="F206" s="1">
        <v>44282</v>
      </c>
      <c r="G206">
        <v>3811</v>
      </c>
      <c r="H206">
        <v>4</v>
      </c>
      <c r="I206">
        <v>11</v>
      </c>
      <c r="K206" t="str">
        <f t="shared" si="16"/>
        <v/>
      </c>
      <c r="L206" t="str">
        <f t="shared" si="17"/>
        <v>Active</v>
      </c>
      <c r="M206">
        <f t="shared" ca="1" si="18"/>
        <v>1699</v>
      </c>
      <c r="N206" t="str">
        <f t="shared" si="19"/>
        <v>30-39</v>
      </c>
      <c r="O206" t="str">
        <f t="shared" si="20"/>
        <v/>
      </c>
    </row>
    <row r="207" spans="1:15" x14ac:dyDescent="0.35">
      <c r="A207">
        <v>1206</v>
      </c>
      <c r="B207" t="s">
        <v>16</v>
      </c>
      <c r="C207" t="s">
        <v>11</v>
      </c>
      <c r="D207">
        <v>31</v>
      </c>
      <c r="E207" t="s">
        <v>12</v>
      </c>
      <c r="F207" s="1">
        <v>43082</v>
      </c>
      <c r="G207">
        <v>5074</v>
      </c>
      <c r="H207">
        <v>1</v>
      </c>
      <c r="I207">
        <v>16</v>
      </c>
      <c r="K207" t="str">
        <f t="shared" si="16"/>
        <v/>
      </c>
      <c r="L207" t="str">
        <f t="shared" si="17"/>
        <v>Active</v>
      </c>
      <c r="M207">
        <f t="shared" ca="1" si="18"/>
        <v>2899</v>
      </c>
      <c r="N207" t="str">
        <f t="shared" si="19"/>
        <v>30-39</v>
      </c>
      <c r="O207" t="str">
        <f t="shared" si="20"/>
        <v/>
      </c>
    </row>
    <row r="208" spans="1:15" x14ac:dyDescent="0.35">
      <c r="A208">
        <v>1207</v>
      </c>
      <c r="B208" t="s">
        <v>16</v>
      </c>
      <c r="C208" t="s">
        <v>11</v>
      </c>
      <c r="D208">
        <v>23</v>
      </c>
      <c r="E208" t="s">
        <v>12</v>
      </c>
      <c r="F208" s="1">
        <v>44353</v>
      </c>
      <c r="G208">
        <v>7669</v>
      </c>
      <c r="H208">
        <v>1</v>
      </c>
      <c r="I208">
        <v>14</v>
      </c>
      <c r="K208" t="str">
        <f t="shared" si="16"/>
        <v/>
      </c>
      <c r="L208" t="str">
        <f t="shared" si="17"/>
        <v>Active</v>
      </c>
      <c r="M208">
        <f t="shared" ca="1" si="18"/>
        <v>1628</v>
      </c>
      <c r="N208" t="str">
        <f t="shared" si="19"/>
        <v>Under 30</v>
      </c>
      <c r="O208" t="str">
        <f t="shared" si="20"/>
        <v/>
      </c>
    </row>
    <row r="209" spans="1:15" x14ac:dyDescent="0.35">
      <c r="A209">
        <v>1208</v>
      </c>
      <c r="B209" t="s">
        <v>19</v>
      </c>
      <c r="C209" t="s">
        <v>14</v>
      </c>
      <c r="D209">
        <v>30</v>
      </c>
      <c r="E209" t="s">
        <v>21</v>
      </c>
      <c r="F209" s="1">
        <v>45112</v>
      </c>
      <c r="G209">
        <v>4614</v>
      </c>
      <c r="H209">
        <v>4</v>
      </c>
      <c r="I209">
        <v>16</v>
      </c>
      <c r="K209" t="str">
        <f t="shared" si="16"/>
        <v/>
      </c>
      <c r="L209" t="str">
        <f t="shared" si="17"/>
        <v>Active</v>
      </c>
      <c r="M209">
        <f t="shared" ca="1" si="18"/>
        <v>869</v>
      </c>
      <c r="N209" t="str">
        <f t="shared" si="19"/>
        <v>30-39</v>
      </c>
      <c r="O209" t="str">
        <f t="shared" si="20"/>
        <v/>
      </c>
    </row>
    <row r="210" spans="1:15" x14ac:dyDescent="0.35">
      <c r="A210">
        <v>1209</v>
      </c>
      <c r="B210" t="s">
        <v>17</v>
      </c>
      <c r="C210" t="s">
        <v>11</v>
      </c>
      <c r="D210">
        <v>24</v>
      </c>
      <c r="E210" t="s">
        <v>21</v>
      </c>
      <c r="F210" s="1">
        <v>43429</v>
      </c>
      <c r="G210">
        <v>5226</v>
      </c>
      <c r="H210">
        <v>2</v>
      </c>
      <c r="I210">
        <v>17</v>
      </c>
      <c r="K210" t="str">
        <f t="shared" si="16"/>
        <v/>
      </c>
      <c r="L210" t="str">
        <f t="shared" si="17"/>
        <v>Active</v>
      </c>
      <c r="M210">
        <f t="shared" ca="1" si="18"/>
        <v>2552</v>
      </c>
      <c r="N210" t="str">
        <f t="shared" si="19"/>
        <v>Under 30</v>
      </c>
      <c r="O210" t="str">
        <f t="shared" si="20"/>
        <v/>
      </c>
    </row>
    <row r="211" spans="1:15" x14ac:dyDescent="0.35">
      <c r="A211">
        <v>1210</v>
      </c>
      <c r="B211" t="s">
        <v>10</v>
      </c>
      <c r="C211" t="s">
        <v>11</v>
      </c>
      <c r="D211">
        <v>42</v>
      </c>
      <c r="E211" t="s">
        <v>12</v>
      </c>
      <c r="F211" s="1">
        <v>42278</v>
      </c>
      <c r="G211">
        <v>8097</v>
      </c>
      <c r="H211">
        <v>3</v>
      </c>
      <c r="I211">
        <v>5</v>
      </c>
      <c r="K211" t="str">
        <f t="shared" si="16"/>
        <v/>
      </c>
      <c r="L211" t="str">
        <f t="shared" si="17"/>
        <v>Active</v>
      </c>
      <c r="M211">
        <f t="shared" ca="1" si="18"/>
        <v>3703</v>
      </c>
      <c r="N211" t="str">
        <f t="shared" si="19"/>
        <v>40-49</v>
      </c>
      <c r="O211" t="str">
        <f t="shared" si="20"/>
        <v/>
      </c>
    </row>
    <row r="212" spans="1:15" x14ac:dyDescent="0.35">
      <c r="A212">
        <v>1211</v>
      </c>
      <c r="B212" t="s">
        <v>16</v>
      </c>
      <c r="C212" t="s">
        <v>14</v>
      </c>
      <c r="D212">
        <v>47</v>
      </c>
      <c r="E212" t="s">
        <v>18</v>
      </c>
      <c r="F212" s="1">
        <v>42664</v>
      </c>
      <c r="G212">
        <v>8346</v>
      </c>
      <c r="H212">
        <v>1</v>
      </c>
      <c r="I212">
        <v>16</v>
      </c>
      <c r="K212" t="str">
        <f t="shared" si="16"/>
        <v/>
      </c>
      <c r="L212" t="str">
        <f t="shared" si="17"/>
        <v>Active</v>
      </c>
      <c r="M212">
        <f t="shared" ca="1" si="18"/>
        <v>3317</v>
      </c>
      <c r="N212" t="str">
        <f t="shared" si="19"/>
        <v>40-49</v>
      </c>
      <c r="O212" t="str">
        <f t="shared" si="20"/>
        <v/>
      </c>
    </row>
    <row r="213" spans="1:15" x14ac:dyDescent="0.35">
      <c r="A213">
        <v>1212</v>
      </c>
      <c r="B213" t="s">
        <v>13</v>
      </c>
      <c r="C213" t="s">
        <v>11</v>
      </c>
      <c r="D213">
        <v>29</v>
      </c>
      <c r="E213" t="s">
        <v>12</v>
      </c>
      <c r="F213" s="1">
        <v>42085</v>
      </c>
      <c r="G213">
        <v>7202</v>
      </c>
      <c r="H213">
        <v>2</v>
      </c>
      <c r="I213">
        <v>17</v>
      </c>
      <c r="K213" t="str">
        <f t="shared" si="16"/>
        <v/>
      </c>
      <c r="L213" t="str">
        <f t="shared" si="17"/>
        <v>Active</v>
      </c>
      <c r="M213">
        <f t="shared" ca="1" si="18"/>
        <v>3896</v>
      </c>
      <c r="N213" t="str">
        <f t="shared" si="19"/>
        <v>Under 30</v>
      </c>
      <c r="O213" t="str">
        <f t="shared" si="20"/>
        <v/>
      </c>
    </row>
    <row r="214" spans="1:15" x14ac:dyDescent="0.35">
      <c r="A214">
        <v>1213</v>
      </c>
      <c r="B214" t="s">
        <v>13</v>
      </c>
      <c r="C214" t="s">
        <v>11</v>
      </c>
      <c r="D214">
        <v>23</v>
      </c>
      <c r="E214" t="s">
        <v>12</v>
      </c>
      <c r="F214" s="1">
        <v>43667</v>
      </c>
      <c r="G214">
        <v>7674</v>
      </c>
      <c r="H214">
        <v>5</v>
      </c>
      <c r="I214">
        <v>7</v>
      </c>
      <c r="K214" t="str">
        <f t="shared" si="16"/>
        <v/>
      </c>
      <c r="L214" t="str">
        <f t="shared" si="17"/>
        <v>Active</v>
      </c>
      <c r="M214">
        <f t="shared" ca="1" si="18"/>
        <v>2314</v>
      </c>
      <c r="N214" t="str">
        <f t="shared" si="19"/>
        <v>Under 30</v>
      </c>
      <c r="O214" t="str">
        <f t="shared" si="20"/>
        <v/>
      </c>
    </row>
    <row r="215" spans="1:15" x14ac:dyDescent="0.35">
      <c r="A215">
        <v>1214</v>
      </c>
      <c r="B215" t="s">
        <v>16</v>
      </c>
      <c r="C215" t="s">
        <v>14</v>
      </c>
      <c r="D215">
        <v>27</v>
      </c>
      <c r="E215" t="s">
        <v>12</v>
      </c>
      <c r="F215" s="1">
        <v>43530</v>
      </c>
      <c r="G215">
        <v>5351</v>
      </c>
      <c r="H215">
        <v>1</v>
      </c>
      <c r="I215">
        <v>8</v>
      </c>
      <c r="K215" t="str">
        <f t="shared" si="16"/>
        <v/>
      </c>
      <c r="L215" t="str">
        <f t="shared" si="17"/>
        <v>Active</v>
      </c>
      <c r="M215">
        <f t="shared" ca="1" si="18"/>
        <v>2451</v>
      </c>
      <c r="N215" t="str">
        <f t="shared" si="19"/>
        <v>Under 30</v>
      </c>
      <c r="O215" t="str">
        <f t="shared" si="20"/>
        <v/>
      </c>
    </row>
    <row r="216" spans="1:15" x14ac:dyDescent="0.35">
      <c r="A216">
        <v>1215</v>
      </c>
      <c r="B216" t="s">
        <v>17</v>
      </c>
      <c r="C216" t="s">
        <v>14</v>
      </c>
      <c r="D216">
        <v>49</v>
      </c>
      <c r="E216" t="s">
        <v>12</v>
      </c>
      <c r="F216" s="1">
        <v>44233</v>
      </c>
      <c r="G216">
        <v>9211</v>
      </c>
      <c r="H216">
        <v>2</v>
      </c>
      <c r="I216">
        <v>5</v>
      </c>
      <c r="K216" t="str">
        <f t="shared" si="16"/>
        <v/>
      </c>
      <c r="L216" t="str">
        <f t="shared" si="17"/>
        <v>Active</v>
      </c>
      <c r="M216">
        <f t="shared" ca="1" si="18"/>
        <v>1748</v>
      </c>
      <c r="N216" t="str">
        <f t="shared" si="19"/>
        <v>40-49</v>
      </c>
      <c r="O216" t="str">
        <f t="shared" si="20"/>
        <v/>
      </c>
    </row>
    <row r="217" spans="1:15" x14ac:dyDescent="0.35">
      <c r="A217">
        <v>1216</v>
      </c>
      <c r="B217" t="s">
        <v>17</v>
      </c>
      <c r="C217" t="s">
        <v>14</v>
      </c>
      <c r="D217">
        <v>50</v>
      </c>
      <c r="E217" t="s">
        <v>12</v>
      </c>
      <c r="F217" s="1">
        <v>45283</v>
      </c>
      <c r="G217">
        <v>6457</v>
      </c>
      <c r="H217">
        <v>2</v>
      </c>
      <c r="I217">
        <v>4</v>
      </c>
      <c r="J217" s="1">
        <v>46399</v>
      </c>
      <c r="K217">
        <f t="shared" si="16"/>
        <v>46399</v>
      </c>
      <c r="L217" t="str">
        <f t="shared" si="17"/>
        <v>Exited</v>
      </c>
      <c r="M217">
        <f t="shared" ca="1" si="18"/>
        <v>1116</v>
      </c>
      <c r="N217" t="str">
        <f t="shared" si="19"/>
        <v>50+</v>
      </c>
      <c r="O217" t="str">
        <f t="shared" si="20"/>
        <v/>
      </c>
    </row>
    <row r="218" spans="1:15" x14ac:dyDescent="0.35">
      <c r="A218">
        <v>1217</v>
      </c>
      <c r="B218" t="s">
        <v>15</v>
      </c>
      <c r="C218" t="s">
        <v>11</v>
      </c>
      <c r="D218">
        <v>47</v>
      </c>
      <c r="E218" t="s">
        <v>18</v>
      </c>
      <c r="F218" s="1">
        <v>45215</v>
      </c>
      <c r="G218">
        <v>2807</v>
      </c>
      <c r="H218">
        <v>3</v>
      </c>
      <c r="I218">
        <v>11</v>
      </c>
      <c r="K218" t="str">
        <f t="shared" si="16"/>
        <v/>
      </c>
      <c r="L218" t="str">
        <f t="shared" si="17"/>
        <v>Active</v>
      </c>
      <c r="M218">
        <f t="shared" ca="1" si="18"/>
        <v>766</v>
      </c>
      <c r="N218" t="str">
        <f t="shared" si="19"/>
        <v>40-49</v>
      </c>
      <c r="O218" t="str">
        <f t="shared" si="20"/>
        <v/>
      </c>
    </row>
    <row r="219" spans="1:15" x14ac:dyDescent="0.35">
      <c r="A219">
        <v>1218</v>
      </c>
      <c r="B219" t="s">
        <v>13</v>
      </c>
      <c r="C219" t="s">
        <v>20</v>
      </c>
      <c r="D219">
        <v>46</v>
      </c>
      <c r="E219" t="s">
        <v>12</v>
      </c>
      <c r="F219" s="1">
        <v>42829</v>
      </c>
      <c r="G219">
        <v>5355</v>
      </c>
      <c r="H219">
        <v>3</v>
      </c>
      <c r="I219">
        <v>10</v>
      </c>
      <c r="K219" t="str">
        <f t="shared" si="16"/>
        <v/>
      </c>
      <c r="L219" t="str">
        <f t="shared" si="17"/>
        <v>Active</v>
      </c>
      <c r="M219">
        <f t="shared" ca="1" si="18"/>
        <v>3152</v>
      </c>
      <c r="N219" t="str">
        <f t="shared" si="19"/>
        <v>40-49</v>
      </c>
      <c r="O219" t="str">
        <f t="shared" si="20"/>
        <v/>
      </c>
    </row>
    <row r="220" spans="1:15" x14ac:dyDescent="0.35">
      <c r="A220">
        <v>1219</v>
      </c>
      <c r="B220" t="s">
        <v>15</v>
      </c>
      <c r="C220" t="s">
        <v>11</v>
      </c>
      <c r="D220">
        <v>33</v>
      </c>
      <c r="E220" t="s">
        <v>21</v>
      </c>
      <c r="F220" s="1">
        <v>43080</v>
      </c>
      <c r="G220">
        <v>3275</v>
      </c>
      <c r="H220">
        <v>5</v>
      </c>
      <c r="I220">
        <v>0</v>
      </c>
      <c r="K220" t="str">
        <f t="shared" si="16"/>
        <v/>
      </c>
      <c r="L220" t="str">
        <f t="shared" si="17"/>
        <v>Active</v>
      </c>
      <c r="M220">
        <f t="shared" ca="1" si="18"/>
        <v>2901</v>
      </c>
      <c r="N220" t="str">
        <f t="shared" si="19"/>
        <v>30-39</v>
      </c>
      <c r="O220" t="str">
        <f t="shared" si="20"/>
        <v/>
      </c>
    </row>
    <row r="221" spans="1:15" x14ac:dyDescent="0.35">
      <c r="A221">
        <v>1220</v>
      </c>
      <c r="B221" t="s">
        <v>13</v>
      </c>
      <c r="C221" t="s">
        <v>14</v>
      </c>
      <c r="D221">
        <v>26</v>
      </c>
      <c r="E221" t="s">
        <v>12</v>
      </c>
      <c r="F221" s="1">
        <v>42971</v>
      </c>
      <c r="G221">
        <v>8216</v>
      </c>
      <c r="H221">
        <v>2</v>
      </c>
      <c r="I221">
        <v>10</v>
      </c>
      <c r="K221" t="str">
        <f t="shared" si="16"/>
        <v/>
      </c>
      <c r="L221" t="str">
        <f t="shared" si="17"/>
        <v>Active</v>
      </c>
      <c r="M221">
        <f t="shared" ca="1" si="18"/>
        <v>3010</v>
      </c>
      <c r="N221" t="str">
        <f t="shared" si="19"/>
        <v>Under 30</v>
      </c>
      <c r="O221" t="str">
        <f t="shared" si="20"/>
        <v/>
      </c>
    </row>
    <row r="222" spans="1:15" x14ac:dyDescent="0.35">
      <c r="A222">
        <v>1221</v>
      </c>
      <c r="B222" t="s">
        <v>10</v>
      </c>
      <c r="C222" t="s">
        <v>11</v>
      </c>
      <c r="D222">
        <v>55</v>
      </c>
      <c r="E222" t="s">
        <v>12</v>
      </c>
      <c r="F222" s="1">
        <v>43366</v>
      </c>
      <c r="G222">
        <v>5011</v>
      </c>
      <c r="H222">
        <v>2</v>
      </c>
      <c r="I222">
        <v>18</v>
      </c>
      <c r="K222" t="str">
        <f t="shared" si="16"/>
        <v/>
      </c>
      <c r="L222" t="str">
        <f t="shared" si="17"/>
        <v>Active</v>
      </c>
      <c r="M222">
        <f t="shared" ca="1" si="18"/>
        <v>2615</v>
      </c>
      <c r="N222" t="str">
        <f t="shared" si="19"/>
        <v>50+</v>
      </c>
      <c r="O222" t="str">
        <f t="shared" si="20"/>
        <v/>
      </c>
    </row>
    <row r="223" spans="1:15" x14ac:dyDescent="0.35">
      <c r="A223">
        <v>1222</v>
      </c>
      <c r="B223" t="s">
        <v>10</v>
      </c>
      <c r="C223" t="s">
        <v>11</v>
      </c>
      <c r="D223">
        <v>58</v>
      </c>
      <c r="E223" t="s">
        <v>12</v>
      </c>
      <c r="F223" s="1">
        <v>44751</v>
      </c>
      <c r="G223">
        <v>3284</v>
      </c>
      <c r="H223">
        <v>3</v>
      </c>
      <c r="I223">
        <v>8</v>
      </c>
      <c r="K223" t="str">
        <f t="shared" si="16"/>
        <v/>
      </c>
      <c r="L223" t="str">
        <f t="shared" si="17"/>
        <v>Active</v>
      </c>
      <c r="M223">
        <f t="shared" ca="1" si="18"/>
        <v>1230</v>
      </c>
      <c r="N223" t="str">
        <f t="shared" si="19"/>
        <v>50+</v>
      </c>
      <c r="O223" t="str">
        <f t="shared" si="20"/>
        <v/>
      </c>
    </row>
    <row r="224" spans="1:15" x14ac:dyDescent="0.35">
      <c r="A224">
        <v>1223</v>
      </c>
      <c r="B224" t="s">
        <v>19</v>
      </c>
      <c r="C224" t="s">
        <v>14</v>
      </c>
      <c r="D224">
        <v>36</v>
      </c>
      <c r="E224" t="s">
        <v>12</v>
      </c>
      <c r="F224" s="1">
        <v>43853</v>
      </c>
      <c r="G224">
        <v>7800</v>
      </c>
      <c r="H224">
        <v>1</v>
      </c>
      <c r="I224">
        <v>1</v>
      </c>
      <c r="K224" t="str">
        <f t="shared" si="16"/>
        <v/>
      </c>
      <c r="L224" t="str">
        <f t="shared" si="17"/>
        <v>Active</v>
      </c>
      <c r="M224">
        <f t="shared" ca="1" si="18"/>
        <v>2128</v>
      </c>
      <c r="N224" t="str">
        <f t="shared" si="19"/>
        <v>30-39</v>
      </c>
      <c r="O224" t="str">
        <f t="shared" si="20"/>
        <v/>
      </c>
    </row>
    <row r="225" spans="1:15" x14ac:dyDescent="0.35">
      <c r="A225">
        <v>1224</v>
      </c>
      <c r="B225" t="s">
        <v>15</v>
      </c>
      <c r="C225" t="s">
        <v>14</v>
      </c>
      <c r="D225">
        <v>57</v>
      </c>
      <c r="E225" t="s">
        <v>12</v>
      </c>
      <c r="F225" s="1">
        <v>44623</v>
      </c>
      <c r="G225">
        <v>7454</v>
      </c>
      <c r="H225">
        <v>1</v>
      </c>
      <c r="I225">
        <v>11</v>
      </c>
      <c r="K225" t="str">
        <f t="shared" si="16"/>
        <v/>
      </c>
      <c r="L225" t="str">
        <f t="shared" si="17"/>
        <v>Active</v>
      </c>
      <c r="M225">
        <f t="shared" ca="1" si="18"/>
        <v>1358</v>
      </c>
      <c r="N225" t="str">
        <f t="shared" si="19"/>
        <v>50+</v>
      </c>
      <c r="O225" t="str">
        <f t="shared" si="20"/>
        <v/>
      </c>
    </row>
    <row r="226" spans="1:15" x14ac:dyDescent="0.35">
      <c r="A226">
        <v>1225</v>
      </c>
      <c r="B226" t="s">
        <v>16</v>
      </c>
      <c r="C226" t="s">
        <v>11</v>
      </c>
      <c r="D226">
        <v>36</v>
      </c>
      <c r="E226" t="s">
        <v>21</v>
      </c>
      <c r="F226" s="1">
        <v>42357</v>
      </c>
      <c r="G226">
        <v>8863</v>
      </c>
      <c r="H226">
        <v>4</v>
      </c>
      <c r="I226">
        <v>3</v>
      </c>
      <c r="J226" s="1">
        <v>43447</v>
      </c>
      <c r="K226">
        <f t="shared" si="16"/>
        <v>43447</v>
      </c>
      <c r="L226" t="str">
        <f t="shared" si="17"/>
        <v>Exited</v>
      </c>
      <c r="M226">
        <f t="shared" ca="1" si="18"/>
        <v>1090</v>
      </c>
      <c r="N226" t="str">
        <f t="shared" si="19"/>
        <v>30-39</v>
      </c>
      <c r="O226" t="str">
        <f t="shared" si="20"/>
        <v/>
      </c>
    </row>
    <row r="227" spans="1:15" x14ac:dyDescent="0.35">
      <c r="A227">
        <v>1226</v>
      </c>
      <c r="B227" t="s">
        <v>15</v>
      </c>
      <c r="C227" t="s">
        <v>14</v>
      </c>
      <c r="D227">
        <v>44</v>
      </c>
      <c r="E227" t="s">
        <v>12</v>
      </c>
      <c r="F227" s="1">
        <v>44812</v>
      </c>
      <c r="G227">
        <v>5085</v>
      </c>
      <c r="H227">
        <v>3</v>
      </c>
      <c r="I227">
        <v>3</v>
      </c>
      <c r="K227" t="str">
        <f t="shared" si="16"/>
        <v/>
      </c>
      <c r="L227" t="str">
        <f t="shared" si="17"/>
        <v>Active</v>
      </c>
      <c r="M227">
        <f t="shared" ca="1" si="18"/>
        <v>1169</v>
      </c>
      <c r="N227" t="str">
        <f t="shared" si="19"/>
        <v>40-49</v>
      </c>
      <c r="O227" t="str">
        <f t="shared" si="20"/>
        <v/>
      </c>
    </row>
    <row r="228" spans="1:15" x14ac:dyDescent="0.35">
      <c r="A228">
        <v>1227</v>
      </c>
      <c r="B228" t="s">
        <v>16</v>
      </c>
      <c r="C228" t="s">
        <v>11</v>
      </c>
      <c r="D228">
        <v>27</v>
      </c>
      <c r="E228" t="s">
        <v>12</v>
      </c>
      <c r="F228" s="1">
        <v>43439</v>
      </c>
      <c r="G228">
        <v>8023</v>
      </c>
      <c r="H228">
        <v>4</v>
      </c>
      <c r="I228">
        <v>17</v>
      </c>
      <c r="K228" t="str">
        <f t="shared" si="16"/>
        <v/>
      </c>
      <c r="L228" t="str">
        <f t="shared" si="17"/>
        <v>Active</v>
      </c>
      <c r="M228">
        <f t="shared" ca="1" si="18"/>
        <v>2542</v>
      </c>
      <c r="N228" t="str">
        <f t="shared" si="19"/>
        <v>Under 30</v>
      </c>
      <c r="O228" t="str">
        <f t="shared" si="20"/>
        <v/>
      </c>
    </row>
    <row r="229" spans="1:15" x14ac:dyDescent="0.35">
      <c r="A229">
        <v>1228</v>
      </c>
      <c r="B229" t="s">
        <v>17</v>
      </c>
      <c r="C229" t="s">
        <v>14</v>
      </c>
      <c r="D229">
        <v>42</v>
      </c>
      <c r="E229" t="s">
        <v>12</v>
      </c>
      <c r="F229" s="1">
        <v>42008</v>
      </c>
      <c r="G229">
        <v>8129</v>
      </c>
      <c r="H229">
        <v>3</v>
      </c>
      <c r="I229">
        <v>14</v>
      </c>
      <c r="J229" s="1">
        <v>43479</v>
      </c>
      <c r="K229">
        <f t="shared" si="16"/>
        <v>43479</v>
      </c>
      <c r="L229" t="str">
        <f t="shared" si="17"/>
        <v>Exited</v>
      </c>
      <c r="M229">
        <f t="shared" ca="1" si="18"/>
        <v>1471</v>
      </c>
      <c r="N229" t="str">
        <f t="shared" si="19"/>
        <v>40-49</v>
      </c>
      <c r="O229" t="str">
        <f t="shared" si="20"/>
        <v/>
      </c>
    </row>
    <row r="230" spans="1:15" x14ac:dyDescent="0.35">
      <c r="A230">
        <v>1229</v>
      </c>
      <c r="B230" t="s">
        <v>15</v>
      </c>
      <c r="C230" t="s">
        <v>14</v>
      </c>
      <c r="D230">
        <v>44</v>
      </c>
      <c r="E230" t="s">
        <v>12</v>
      </c>
      <c r="F230" s="1">
        <v>44828</v>
      </c>
      <c r="G230">
        <v>9497</v>
      </c>
      <c r="H230">
        <v>5</v>
      </c>
      <c r="I230">
        <v>18</v>
      </c>
      <c r="K230" t="str">
        <f t="shared" si="16"/>
        <v/>
      </c>
      <c r="L230" t="str">
        <f t="shared" si="17"/>
        <v>Active</v>
      </c>
      <c r="M230">
        <f t="shared" ca="1" si="18"/>
        <v>1153</v>
      </c>
      <c r="N230" t="str">
        <f t="shared" si="19"/>
        <v>40-49</v>
      </c>
      <c r="O230" t="str">
        <f t="shared" si="20"/>
        <v/>
      </c>
    </row>
    <row r="231" spans="1:15" x14ac:dyDescent="0.35">
      <c r="A231">
        <v>1230</v>
      </c>
      <c r="B231" t="s">
        <v>17</v>
      </c>
      <c r="C231" t="s">
        <v>14</v>
      </c>
      <c r="D231">
        <v>37</v>
      </c>
      <c r="E231" t="s">
        <v>12</v>
      </c>
      <c r="F231" s="1">
        <v>43318</v>
      </c>
      <c r="G231">
        <v>7363</v>
      </c>
      <c r="H231">
        <v>2</v>
      </c>
      <c r="I231">
        <v>12</v>
      </c>
      <c r="K231" t="str">
        <f t="shared" si="16"/>
        <v/>
      </c>
      <c r="L231" t="str">
        <f t="shared" si="17"/>
        <v>Active</v>
      </c>
      <c r="M231">
        <f t="shared" ca="1" si="18"/>
        <v>2663</v>
      </c>
      <c r="N231" t="str">
        <f t="shared" si="19"/>
        <v>30-39</v>
      </c>
      <c r="O231" t="str">
        <f t="shared" si="20"/>
        <v/>
      </c>
    </row>
    <row r="232" spans="1:15" x14ac:dyDescent="0.35">
      <c r="A232">
        <v>1231</v>
      </c>
      <c r="B232" t="s">
        <v>10</v>
      </c>
      <c r="C232" t="s">
        <v>14</v>
      </c>
      <c r="D232">
        <v>36</v>
      </c>
      <c r="E232" t="s">
        <v>12</v>
      </c>
      <c r="F232" s="1">
        <v>43832</v>
      </c>
      <c r="G232">
        <v>6325</v>
      </c>
      <c r="H232">
        <v>5</v>
      </c>
      <c r="I232">
        <v>18</v>
      </c>
      <c r="K232" t="str">
        <f t="shared" si="16"/>
        <v/>
      </c>
      <c r="L232" t="str">
        <f t="shared" si="17"/>
        <v>Active</v>
      </c>
      <c r="M232">
        <f t="shared" ca="1" si="18"/>
        <v>2149</v>
      </c>
      <c r="N232" t="str">
        <f t="shared" si="19"/>
        <v>30-39</v>
      </c>
      <c r="O232" t="str">
        <f t="shared" si="20"/>
        <v/>
      </c>
    </row>
    <row r="233" spans="1:15" x14ac:dyDescent="0.35">
      <c r="A233">
        <v>1232</v>
      </c>
      <c r="B233" t="s">
        <v>10</v>
      </c>
      <c r="C233" t="s">
        <v>11</v>
      </c>
      <c r="D233">
        <v>46</v>
      </c>
      <c r="E233" t="s">
        <v>12</v>
      </c>
      <c r="F233" s="1">
        <v>44732</v>
      </c>
      <c r="G233">
        <v>6139</v>
      </c>
      <c r="H233">
        <v>3</v>
      </c>
      <c r="I233">
        <v>16</v>
      </c>
      <c r="J233" s="1">
        <v>45799</v>
      </c>
      <c r="K233">
        <f t="shared" si="16"/>
        <v>45799</v>
      </c>
      <c r="L233" t="str">
        <f t="shared" si="17"/>
        <v>Exited</v>
      </c>
      <c r="M233">
        <f t="shared" ca="1" si="18"/>
        <v>1067</v>
      </c>
      <c r="N233" t="str">
        <f t="shared" si="19"/>
        <v>40-49</v>
      </c>
      <c r="O233" t="str">
        <f t="shared" si="20"/>
        <v/>
      </c>
    </row>
    <row r="234" spans="1:15" x14ac:dyDescent="0.35">
      <c r="A234">
        <v>1233</v>
      </c>
      <c r="B234" t="s">
        <v>19</v>
      </c>
      <c r="C234" t="s">
        <v>14</v>
      </c>
      <c r="D234">
        <v>57</v>
      </c>
      <c r="E234" t="s">
        <v>12</v>
      </c>
      <c r="F234" s="1">
        <v>43248</v>
      </c>
      <c r="G234">
        <v>9329</v>
      </c>
      <c r="H234">
        <v>2</v>
      </c>
      <c r="I234">
        <v>5</v>
      </c>
      <c r="K234" t="str">
        <f t="shared" si="16"/>
        <v/>
      </c>
      <c r="L234" t="str">
        <f t="shared" si="17"/>
        <v>Active</v>
      </c>
      <c r="M234">
        <f t="shared" ca="1" si="18"/>
        <v>2733</v>
      </c>
      <c r="N234" t="str">
        <f t="shared" si="19"/>
        <v>50+</v>
      </c>
      <c r="O234" t="str">
        <f t="shared" si="20"/>
        <v/>
      </c>
    </row>
    <row r="235" spans="1:15" x14ac:dyDescent="0.35">
      <c r="A235">
        <v>1234</v>
      </c>
      <c r="B235" t="s">
        <v>15</v>
      </c>
      <c r="C235" t="s">
        <v>11</v>
      </c>
      <c r="D235">
        <v>32</v>
      </c>
      <c r="E235" t="s">
        <v>12</v>
      </c>
      <c r="F235" s="1">
        <v>42897</v>
      </c>
      <c r="G235">
        <v>5622</v>
      </c>
      <c r="H235">
        <v>1</v>
      </c>
      <c r="I235">
        <v>15</v>
      </c>
      <c r="K235" t="str">
        <f t="shared" si="16"/>
        <v/>
      </c>
      <c r="L235" t="str">
        <f t="shared" si="17"/>
        <v>Active</v>
      </c>
      <c r="M235">
        <f t="shared" ca="1" si="18"/>
        <v>3084</v>
      </c>
      <c r="N235" t="str">
        <f t="shared" si="19"/>
        <v>30-39</v>
      </c>
      <c r="O235" t="str">
        <f t="shared" si="20"/>
        <v/>
      </c>
    </row>
    <row r="236" spans="1:15" x14ac:dyDescent="0.35">
      <c r="A236">
        <v>1235</v>
      </c>
      <c r="B236" t="s">
        <v>17</v>
      </c>
      <c r="C236" t="s">
        <v>11</v>
      </c>
      <c r="D236">
        <v>36</v>
      </c>
      <c r="E236" t="s">
        <v>12</v>
      </c>
      <c r="F236" s="1">
        <v>45203</v>
      </c>
      <c r="G236">
        <v>7743</v>
      </c>
      <c r="H236">
        <v>1</v>
      </c>
      <c r="I236">
        <v>11</v>
      </c>
      <c r="K236" t="str">
        <f t="shared" si="16"/>
        <v/>
      </c>
      <c r="L236" t="str">
        <f t="shared" si="17"/>
        <v>Active</v>
      </c>
      <c r="M236">
        <f t="shared" ca="1" si="18"/>
        <v>778</v>
      </c>
      <c r="N236" t="str">
        <f t="shared" si="19"/>
        <v>30-39</v>
      </c>
      <c r="O236" t="str">
        <f t="shared" si="20"/>
        <v/>
      </c>
    </row>
    <row r="237" spans="1:15" x14ac:dyDescent="0.35">
      <c r="A237">
        <v>1236</v>
      </c>
      <c r="B237" t="s">
        <v>16</v>
      </c>
      <c r="C237" t="s">
        <v>11</v>
      </c>
      <c r="D237">
        <v>25</v>
      </c>
      <c r="E237" t="s">
        <v>12</v>
      </c>
      <c r="F237" s="1">
        <v>43084</v>
      </c>
      <c r="G237">
        <v>9330</v>
      </c>
      <c r="H237">
        <v>4</v>
      </c>
      <c r="I237">
        <v>18</v>
      </c>
      <c r="K237" t="str">
        <f t="shared" si="16"/>
        <v/>
      </c>
      <c r="L237" t="str">
        <f t="shared" si="17"/>
        <v>Active</v>
      </c>
      <c r="M237">
        <f t="shared" ca="1" si="18"/>
        <v>2897</v>
      </c>
      <c r="N237" t="str">
        <f t="shared" si="19"/>
        <v>Under 30</v>
      </c>
      <c r="O237" t="str">
        <f t="shared" si="20"/>
        <v/>
      </c>
    </row>
    <row r="238" spans="1:15" x14ac:dyDescent="0.35">
      <c r="A238">
        <v>1237</v>
      </c>
      <c r="B238" t="s">
        <v>10</v>
      </c>
      <c r="C238" t="s">
        <v>14</v>
      </c>
      <c r="D238">
        <v>42</v>
      </c>
      <c r="E238" t="s">
        <v>12</v>
      </c>
      <c r="F238" s="1">
        <v>45052</v>
      </c>
      <c r="G238">
        <v>5724</v>
      </c>
      <c r="H238">
        <v>3</v>
      </c>
      <c r="I238">
        <v>4</v>
      </c>
      <c r="K238" t="str">
        <f t="shared" si="16"/>
        <v/>
      </c>
      <c r="L238" t="str">
        <f t="shared" si="17"/>
        <v>Active</v>
      </c>
      <c r="M238">
        <f t="shared" ca="1" si="18"/>
        <v>929</v>
      </c>
      <c r="N238" t="str">
        <f t="shared" si="19"/>
        <v>40-49</v>
      </c>
      <c r="O238" t="str">
        <f t="shared" si="20"/>
        <v/>
      </c>
    </row>
    <row r="239" spans="1:15" x14ac:dyDescent="0.35">
      <c r="A239">
        <v>1238</v>
      </c>
      <c r="B239" t="s">
        <v>10</v>
      </c>
      <c r="C239" t="s">
        <v>11</v>
      </c>
      <c r="D239">
        <v>34</v>
      </c>
      <c r="E239" t="s">
        <v>21</v>
      </c>
      <c r="F239" s="1">
        <v>42543</v>
      </c>
      <c r="G239">
        <v>3058</v>
      </c>
      <c r="H239">
        <v>3</v>
      </c>
      <c r="I239">
        <v>16</v>
      </c>
      <c r="J239" s="1">
        <v>43352</v>
      </c>
      <c r="K239">
        <f t="shared" si="16"/>
        <v>43352</v>
      </c>
      <c r="L239" t="str">
        <f t="shared" si="17"/>
        <v>Exited</v>
      </c>
      <c r="M239">
        <f t="shared" ca="1" si="18"/>
        <v>809</v>
      </c>
      <c r="N239" t="str">
        <f t="shared" si="19"/>
        <v>30-39</v>
      </c>
      <c r="O239" t="str">
        <f t="shared" si="20"/>
        <v/>
      </c>
    </row>
    <row r="240" spans="1:15" x14ac:dyDescent="0.35">
      <c r="A240">
        <v>1239</v>
      </c>
      <c r="B240" t="s">
        <v>16</v>
      </c>
      <c r="C240" t="s">
        <v>11</v>
      </c>
      <c r="D240">
        <v>43</v>
      </c>
      <c r="E240" t="s">
        <v>12</v>
      </c>
      <c r="F240" s="1">
        <v>42507</v>
      </c>
      <c r="G240">
        <v>3082</v>
      </c>
      <c r="H240">
        <v>1</v>
      </c>
      <c r="I240">
        <v>0</v>
      </c>
      <c r="K240" t="str">
        <f t="shared" si="16"/>
        <v/>
      </c>
      <c r="L240" t="str">
        <f t="shared" si="17"/>
        <v>Active</v>
      </c>
      <c r="M240">
        <f t="shared" ca="1" si="18"/>
        <v>3474</v>
      </c>
      <c r="N240" t="str">
        <f t="shared" si="19"/>
        <v>40-49</v>
      </c>
      <c r="O240" t="str">
        <f t="shared" si="20"/>
        <v/>
      </c>
    </row>
    <row r="241" spans="1:15" x14ac:dyDescent="0.35">
      <c r="A241">
        <v>1240</v>
      </c>
      <c r="B241" t="s">
        <v>17</v>
      </c>
      <c r="C241" t="s">
        <v>14</v>
      </c>
      <c r="D241">
        <v>40</v>
      </c>
      <c r="E241" t="s">
        <v>12</v>
      </c>
      <c r="F241" s="1">
        <v>42698</v>
      </c>
      <c r="G241">
        <v>8545</v>
      </c>
      <c r="H241">
        <v>5</v>
      </c>
      <c r="I241">
        <v>9</v>
      </c>
      <c r="K241" t="str">
        <f t="shared" si="16"/>
        <v/>
      </c>
      <c r="L241" t="str">
        <f t="shared" si="17"/>
        <v>Active</v>
      </c>
      <c r="M241">
        <f t="shared" ca="1" si="18"/>
        <v>3283</v>
      </c>
      <c r="N241" t="str">
        <f t="shared" si="19"/>
        <v>40-49</v>
      </c>
      <c r="O241" t="str">
        <f t="shared" si="20"/>
        <v/>
      </c>
    </row>
    <row r="242" spans="1:15" x14ac:dyDescent="0.35">
      <c r="A242">
        <v>1241</v>
      </c>
      <c r="B242" t="s">
        <v>17</v>
      </c>
      <c r="C242" t="s">
        <v>14</v>
      </c>
      <c r="D242">
        <v>55</v>
      </c>
      <c r="E242" t="s">
        <v>12</v>
      </c>
      <c r="F242" s="1">
        <v>44171</v>
      </c>
      <c r="G242">
        <v>4698</v>
      </c>
      <c r="H242">
        <v>2</v>
      </c>
      <c r="I242">
        <v>14</v>
      </c>
      <c r="K242" t="str">
        <f t="shared" si="16"/>
        <v/>
      </c>
      <c r="L242" t="str">
        <f t="shared" si="17"/>
        <v>Active</v>
      </c>
      <c r="M242">
        <f t="shared" ca="1" si="18"/>
        <v>1810</v>
      </c>
      <c r="N242" t="str">
        <f t="shared" si="19"/>
        <v>50+</v>
      </c>
      <c r="O242" t="str">
        <f t="shared" si="20"/>
        <v/>
      </c>
    </row>
    <row r="243" spans="1:15" x14ac:dyDescent="0.35">
      <c r="A243">
        <v>1242</v>
      </c>
      <c r="B243" t="s">
        <v>15</v>
      </c>
      <c r="C243" t="s">
        <v>11</v>
      </c>
      <c r="D243">
        <v>35</v>
      </c>
      <c r="E243" t="s">
        <v>18</v>
      </c>
      <c r="F243" s="1">
        <v>42874</v>
      </c>
      <c r="G243">
        <v>6935</v>
      </c>
      <c r="H243">
        <v>5</v>
      </c>
      <c r="I243">
        <v>20</v>
      </c>
      <c r="K243" t="str">
        <f t="shared" si="16"/>
        <v/>
      </c>
      <c r="L243" t="str">
        <f t="shared" si="17"/>
        <v>Active</v>
      </c>
      <c r="M243">
        <f t="shared" ca="1" si="18"/>
        <v>3107</v>
      </c>
      <c r="N243" t="str">
        <f t="shared" si="19"/>
        <v>30-39</v>
      </c>
      <c r="O243" t="str">
        <f t="shared" si="20"/>
        <v/>
      </c>
    </row>
    <row r="244" spans="1:15" x14ac:dyDescent="0.35">
      <c r="A244">
        <v>1243</v>
      </c>
      <c r="B244" t="s">
        <v>15</v>
      </c>
      <c r="C244" t="s">
        <v>20</v>
      </c>
      <c r="D244">
        <v>25</v>
      </c>
      <c r="E244" t="s">
        <v>12</v>
      </c>
      <c r="F244" s="1">
        <v>45041</v>
      </c>
      <c r="G244">
        <v>9429</v>
      </c>
      <c r="H244">
        <v>5</v>
      </c>
      <c r="I244">
        <v>20</v>
      </c>
      <c r="K244" t="str">
        <f t="shared" si="16"/>
        <v/>
      </c>
      <c r="L244" t="str">
        <f t="shared" si="17"/>
        <v>Active</v>
      </c>
      <c r="M244">
        <f t="shared" ca="1" si="18"/>
        <v>940</v>
      </c>
      <c r="N244" t="str">
        <f t="shared" si="19"/>
        <v>Under 30</v>
      </c>
      <c r="O244" t="str">
        <f t="shared" si="20"/>
        <v/>
      </c>
    </row>
    <row r="245" spans="1:15" x14ac:dyDescent="0.35">
      <c r="A245">
        <v>1244</v>
      </c>
      <c r="B245" t="s">
        <v>13</v>
      </c>
      <c r="C245" t="s">
        <v>14</v>
      </c>
      <c r="D245">
        <v>48</v>
      </c>
      <c r="E245" t="s">
        <v>12</v>
      </c>
      <c r="F245" s="1">
        <v>43161</v>
      </c>
      <c r="G245">
        <v>5776</v>
      </c>
      <c r="H245">
        <v>1</v>
      </c>
      <c r="I245">
        <v>10</v>
      </c>
      <c r="K245" t="str">
        <f t="shared" si="16"/>
        <v/>
      </c>
      <c r="L245" t="str">
        <f t="shared" si="17"/>
        <v>Active</v>
      </c>
      <c r="M245">
        <f t="shared" ca="1" si="18"/>
        <v>2820</v>
      </c>
      <c r="N245" t="str">
        <f t="shared" si="19"/>
        <v>40-49</v>
      </c>
      <c r="O245" t="str">
        <f t="shared" si="20"/>
        <v/>
      </c>
    </row>
    <row r="246" spans="1:15" x14ac:dyDescent="0.35">
      <c r="A246">
        <v>1245</v>
      </c>
      <c r="B246" t="s">
        <v>13</v>
      </c>
      <c r="C246" t="s">
        <v>11</v>
      </c>
      <c r="D246">
        <v>50</v>
      </c>
      <c r="E246" t="s">
        <v>21</v>
      </c>
      <c r="F246" s="1">
        <v>42078</v>
      </c>
      <c r="G246">
        <v>5067</v>
      </c>
      <c r="H246">
        <v>1</v>
      </c>
      <c r="I246">
        <v>12</v>
      </c>
      <c r="K246" t="str">
        <f t="shared" si="16"/>
        <v/>
      </c>
      <c r="L246" t="str">
        <f t="shared" si="17"/>
        <v>Active</v>
      </c>
      <c r="M246">
        <f t="shared" ca="1" si="18"/>
        <v>3903</v>
      </c>
      <c r="N246" t="str">
        <f t="shared" si="19"/>
        <v>50+</v>
      </c>
      <c r="O246" t="str">
        <f t="shared" si="20"/>
        <v/>
      </c>
    </row>
    <row r="247" spans="1:15" x14ac:dyDescent="0.35">
      <c r="A247">
        <v>1246</v>
      </c>
      <c r="B247" t="s">
        <v>19</v>
      </c>
      <c r="C247" t="s">
        <v>11</v>
      </c>
      <c r="D247">
        <v>49</v>
      </c>
      <c r="E247" t="s">
        <v>12</v>
      </c>
      <c r="F247" s="1">
        <v>43201</v>
      </c>
      <c r="G247">
        <v>6000</v>
      </c>
      <c r="H247">
        <v>1</v>
      </c>
      <c r="I247">
        <v>4</v>
      </c>
      <c r="K247" t="str">
        <f t="shared" si="16"/>
        <v/>
      </c>
      <c r="L247" t="str">
        <f t="shared" si="17"/>
        <v>Active</v>
      </c>
      <c r="M247">
        <f t="shared" ca="1" si="18"/>
        <v>2780</v>
      </c>
      <c r="N247" t="str">
        <f t="shared" si="19"/>
        <v>40-49</v>
      </c>
      <c r="O247" t="str">
        <f t="shared" si="20"/>
        <v/>
      </c>
    </row>
    <row r="248" spans="1:15" x14ac:dyDescent="0.35">
      <c r="A248">
        <v>1247</v>
      </c>
      <c r="B248" t="s">
        <v>10</v>
      </c>
      <c r="C248" t="s">
        <v>11</v>
      </c>
      <c r="D248">
        <v>56</v>
      </c>
      <c r="E248" t="s">
        <v>12</v>
      </c>
      <c r="F248" s="1">
        <v>42255</v>
      </c>
      <c r="G248">
        <v>7910</v>
      </c>
      <c r="H248">
        <v>4</v>
      </c>
      <c r="I248">
        <v>0</v>
      </c>
      <c r="K248" t="str">
        <f t="shared" si="16"/>
        <v/>
      </c>
      <c r="L248" t="str">
        <f t="shared" si="17"/>
        <v>Active</v>
      </c>
      <c r="M248">
        <f t="shared" ca="1" si="18"/>
        <v>3726</v>
      </c>
      <c r="N248" t="str">
        <f t="shared" si="19"/>
        <v>50+</v>
      </c>
      <c r="O248" t="str">
        <f t="shared" si="20"/>
        <v/>
      </c>
    </row>
    <row r="249" spans="1:15" x14ac:dyDescent="0.35">
      <c r="A249">
        <v>1248</v>
      </c>
      <c r="B249" t="s">
        <v>15</v>
      </c>
      <c r="C249" t="s">
        <v>20</v>
      </c>
      <c r="D249">
        <v>29</v>
      </c>
      <c r="E249" t="s">
        <v>12</v>
      </c>
      <c r="F249" s="1">
        <v>43522</v>
      </c>
      <c r="G249">
        <v>3412</v>
      </c>
      <c r="H249">
        <v>5</v>
      </c>
      <c r="I249">
        <v>11</v>
      </c>
      <c r="K249" t="str">
        <f t="shared" si="16"/>
        <v/>
      </c>
      <c r="L249" t="str">
        <f t="shared" si="17"/>
        <v>Active</v>
      </c>
      <c r="M249">
        <f t="shared" ca="1" si="18"/>
        <v>2459</v>
      </c>
      <c r="N249" t="str">
        <f t="shared" si="19"/>
        <v>Under 30</v>
      </c>
      <c r="O249" t="str">
        <f t="shared" si="20"/>
        <v/>
      </c>
    </row>
    <row r="250" spans="1:15" x14ac:dyDescent="0.35">
      <c r="A250">
        <v>1249</v>
      </c>
      <c r="B250" t="s">
        <v>17</v>
      </c>
      <c r="C250" t="s">
        <v>11</v>
      </c>
      <c r="D250">
        <v>37</v>
      </c>
      <c r="E250" t="s">
        <v>12</v>
      </c>
      <c r="F250" s="1">
        <v>43362</v>
      </c>
      <c r="G250">
        <v>8811</v>
      </c>
      <c r="H250">
        <v>3</v>
      </c>
      <c r="I250">
        <v>10</v>
      </c>
      <c r="K250" t="str">
        <f t="shared" si="16"/>
        <v/>
      </c>
      <c r="L250" t="str">
        <f t="shared" si="17"/>
        <v>Active</v>
      </c>
      <c r="M250">
        <f t="shared" ca="1" si="18"/>
        <v>2619</v>
      </c>
      <c r="N250" t="str">
        <f t="shared" si="19"/>
        <v>30-39</v>
      </c>
      <c r="O250" t="str">
        <f t="shared" si="20"/>
        <v/>
      </c>
    </row>
    <row r="251" spans="1:15" x14ac:dyDescent="0.35">
      <c r="A251">
        <v>1250</v>
      </c>
      <c r="B251" t="s">
        <v>16</v>
      </c>
      <c r="C251" t="s">
        <v>14</v>
      </c>
      <c r="D251">
        <v>57</v>
      </c>
      <c r="E251" t="s">
        <v>18</v>
      </c>
      <c r="F251" s="1">
        <v>44574</v>
      </c>
      <c r="G251">
        <v>3487</v>
      </c>
      <c r="H251">
        <v>2</v>
      </c>
      <c r="I251">
        <v>16</v>
      </c>
      <c r="K251" t="str">
        <f t="shared" si="16"/>
        <v/>
      </c>
      <c r="L251" t="str">
        <f t="shared" si="17"/>
        <v>Active</v>
      </c>
      <c r="M251">
        <f t="shared" ca="1" si="18"/>
        <v>1407</v>
      </c>
      <c r="N251" t="str">
        <f t="shared" si="19"/>
        <v>50+</v>
      </c>
      <c r="O251" t="str">
        <f t="shared" si="20"/>
        <v/>
      </c>
    </row>
    <row r="252" spans="1:15" x14ac:dyDescent="0.35">
      <c r="A252">
        <v>1251</v>
      </c>
      <c r="B252" t="s">
        <v>17</v>
      </c>
      <c r="C252" t="s">
        <v>14</v>
      </c>
      <c r="D252">
        <v>51</v>
      </c>
      <c r="E252" t="s">
        <v>12</v>
      </c>
      <c r="F252" s="1">
        <v>44573</v>
      </c>
      <c r="G252">
        <v>6490</v>
      </c>
      <c r="H252">
        <v>4</v>
      </c>
      <c r="I252">
        <v>3</v>
      </c>
      <c r="K252" t="str">
        <f t="shared" si="16"/>
        <v/>
      </c>
      <c r="L252" t="str">
        <f t="shared" si="17"/>
        <v>Active</v>
      </c>
      <c r="M252">
        <f t="shared" ca="1" si="18"/>
        <v>1408</v>
      </c>
      <c r="N252" t="str">
        <f t="shared" si="19"/>
        <v>50+</v>
      </c>
      <c r="O252" t="str">
        <f t="shared" si="20"/>
        <v/>
      </c>
    </row>
    <row r="253" spans="1:15" x14ac:dyDescent="0.35">
      <c r="A253">
        <v>1252</v>
      </c>
      <c r="B253" t="s">
        <v>10</v>
      </c>
      <c r="C253" t="s">
        <v>14</v>
      </c>
      <c r="D253">
        <v>39</v>
      </c>
      <c r="E253" t="s">
        <v>12</v>
      </c>
      <c r="F253" s="1">
        <v>44321</v>
      </c>
      <c r="G253">
        <v>3412</v>
      </c>
      <c r="H253">
        <v>3</v>
      </c>
      <c r="I253">
        <v>14</v>
      </c>
      <c r="K253" t="str">
        <f t="shared" si="16"/>
        <v/>
      </c>
      <c r="L253" t="str">
        <f t="shared" si="17"/>
        <v>Active</v>
      </c>
      <c r="M253">
        <f t="shared" ca="1" si="18"/>
        <v>1660</v>
      </c>
      <c r="N253" t="str">
        <f t="shared" si="19"/>
        <v>30-39</v>
      </c>
      <c r="O253" t="str">
        <f t="shared" si="20"/>
        <v/>
      </c>
    </row>
    <row r="254" spans="1:15" x14ac:dyDescent="0.35">
      <c r="A254">
        <v>1253</v>
      </c>
      <c r="B254" t="s">
        <v>13</v>
      </c>
      <c r="C254" t="s">
        <v>11</v>
      </c>
      <c r="D254">
        <v>23</v>
      </c>
      <c r="E254" t="s">
        <v>12</v>
      </c>
      <c r="F254" s="1">
        <v>42892</v>
      </c>
      <c r="G254">
        <v>5107</v>
      </c>
      <c r="H254">
        <v>5</v>
      </c>
      <c r="I254">
        <v>8</v>
      </c>
      <c r="J254" s="1">
        <v>43505</v>
      </c>
      <c r="K254">
        <f t="shared" si="16"/>
        <v>43505</v>
      </c>
      <c r="L254" t="str">
        <f t="shared" si="17"/>
        <v>Exited</v>
      </c>
      <c r="M254">
        <f t="shared" ca="1" si="18"/>
        <v>613</v>
      </c>
      <c r="N254" t="str">
        <f t="shared" si="19"/>
        <v>Under 30</v>
      </c>
      <c r="O254" t="str">
        <f t="shared" si="20"/>
        <v/>
      </c>
    </row>
    <row r="255" spans="1:15" x14ac:dyDescent="0.35">
      <c r="A255">
        <v>1254</v>
      </c>
      <c r="B255" t="s">
        <v>17</v>
      </c>
      <c r="C255" t="s">
        <v>11</v>
      </c>
      <c r="D255">
        <v>34</v>
      </c>
      <c r="E255" t="s">
        <v>12</v>
      </c>
      <c r="F255" s="1">
        <v>42181</v>
      </c>
      <c r="G255">
        <v>5813</v>
      </c>
      <c r="H255">
        <v>1</v>
      </c>
      <c r="I255">
        <v>20</v>
      </c>
      <c r="K255" t="str">
        <f t="shared" si="16"/>
        <v/>
      </c>
      <c r="L255" t="str">
        <f t="shared" si="17"/>
        <v>Active</v>
      </c>
      <c r="M255">
        <f t="shared" ca="1" si="18"/>
        <v>3800</v>
      </c>
      <c r="N255" t="str">
        <f t="shared" si="19"/>
        <v>30-39</v>
      </c>
      <c r="O255" t="str">
        <f t="shared" si="20"/>
        <v/>
      </c>
    </row>
    <row r="256" spans="1:15" x14ac:dyDescent="0.35">
      <c r="A256">
        <v>1255</v>
      </c>
      <c r="B256" t="s">
        <v>19</v>
      </c>
      <c r="C256" t="s">
        <v>14</v>
      </c>
      <c r="D256">
        <v>25</v>
      </c>
      <c r="E256" t="s">
        <v>12</v>
      </c>
      <c r="F256" s="1">
        <v>42085</v>
      </c>
      <c r="G256">
        <v>9309</v>
      </c>
      <c r="H256">
        <v>5</v>
      </c>
      <c r="I256">
        <v>19</v>
      </c>
      <c r="K256" t="str">
        <f t="shared" si="16"/>
        <v/>
      </c>
      <c r="L256" t="str">
        <f t="shared" si="17"/>
        <v>Active</v>
      </c>
      <c r="M256">
        <f t="shared" ca="1" si="18"/>
        <v>3896</v>
      </c>
      <c r="N256" t="str">
        <f t="shared" si="19"/>
        <v>Under 30</v>
      </c>
      <c r="O256" t="str">
        <f t="shared" si="20"/>
        <v/>
      </c>
    </row>
    <row r="257" spans="1:15" x14ac:dyDescent="0.35">
      <c r="A257">
        <v>1256</v>
      </c>
      <c r="B257" t="s">
        <v>10</v>
      </c>
      <c r="C257" t="s">
        <v>11</v>
      </c>
      <c r="D257">
        <v>47</v>
      </c>
      <c r="E257" t="s">
        <v>21</v>
      </c>
      <c r="F257" s="1">
        <v>42920</v>
      </c>
      <c r="G257">
        <v>4581</v>
      </c>
      <c r="H257">
        <v>2</v>
      </c>
      <c r="I257">
        <v>18</v>
      </c>
      <c r="K257" t="str">
        <f t="shared" si="16"/>
        <v/>
      </c>
      <c r="L257" t="str">
        <f t="shared" si="17"/>
        <v>Active</v>
      </c>
      <c r="M257">
        <f t="shared" ca="1" si="18"/>
        <v>3061</v>
      </c>
      <c r="N257" t="str">
        <f t="shared" si="19"/>
        <v>40-49</v>
      </c>
      <c r="O257" t="str">
        <f t="shared" si="20"/>
        <v/>
      </c>
    </row>
    <row r="258" spans="1:15" x14ac:dyDescent="0.35">
      <c r="A258">
        <v>1257</v>
      </c>
      <c r="B258" t="s">
        <v>13</v>
      </c>
      <c r="C258" t="s">
        <v>11</v>
      </c>
      <c r="D258">
        <v>46</v>
      </c>
      <c r="E258" t="s">
        <v>12</v>
      </c>
      <c r="F258" s="1">
        <v>44093</v>
      </c>
      <c r="G258">
        <v>8706</v>
      </c>
      <c r="H258">
        <v>4</v>
      </c>
      <c r="I258">
        <v>18</v>
      </c>
      <c r="K258" t="str">
        <f t="shared" si="16"/>
        <v/>
      </c>
      <c r="L258" t="str">
        <f t="shared" si="17"/>
        <v>Active</v>
      </c>
      <c r="M258">
        <f t="shared" ca="1" si="18"/>
        <v>1888</v>
      </c>
      <c r="N258" t="str">
        <f t="shared" si="19"/>
        <v>40-49</v>
      </c>
      <c r="O258" t="str">
        <f t="shared" si="20"/>
        <v/>
      </c>
    </row>
    <row r="259" spans="1:15" x14ac:dyDescent="0.35">
      <c r="A259">
        <v>1258</v>
      </c>
      <c r="B259" t="s">
        <v>16</v>
      </c>
      <c r="C259" t="s">
        <v>11</v>
      </c>
      <c r="D259">
        <v>51</v>
      </c>
      <c r="E259" t="s">
        <v>12</v>
      </c>
      <c r="F259" s="1">
        <v>44520</v>
      </c>
      <c r="G259">
        <v>5391</v>
      </c>
      <c r="H259">
        <v>4</v>
      </c>
      <c r="I259">
        <v>11</v>
      </c>
      <c r="K259" t="str">
        <f t="shared" ref="K259:K322" si="21">IF(J259="", "", J259)</f>
        <v/>
      </c>
      <c r="L259" t="str">
        <f t="shared" ref="L259:L322" si="22">IF(J259="", "Active", "Exited")</f>
        <v>Active</v>
      </c>
      <c r="M259">
        <f t="shared" ref="M259:M322" ca="1" si="23">IF(L259="Active", TODAY()-F259, J259-F259)</f>
        <v>1461</v>
      </c>
      <c r="N259" t="str">
        <f t="shared" ref="N259:N322" si="24">IF(D259&lt;30,"Under 30",
IF(D259&lt;40,"30-39",
IF(D259&lt;50,"40-49","50+")))</f>
        <v>50+</v>
      </c>
      <c r="O259" t="str">
        <f t="shared" ref="O259:O322" si="25">IF(AND(J259&lt;&gt;"", F259&lt;&gt;"", J259&lt;F259), "Invalid Exit Date", "")</f>
        <v/>
      </c>
    </row>
    <row r="260" spans="1:15" x14ac:dyDescent="0.35">
      <c r="A260">
        <v>1259</v>
      </c>
      <c r="B260" t="s">
        <v>13</v>
      </c>
      <c r="C260" t="s">
        <v>14</v>
      </c>
      <c r="D260">
        <v>32</v>
      </c>
      <c r="E260" t="s">
        <v>12</v>
      </c>
      <c r="F260" s="1">
        <v>44166</v>
      </c>
      <c r="G260">
        <v>5496</v>
      </c>
      <c r="H260">
        <v>2</v>
      </c>
      <c r="I260">
        <v>4</v>
      </c>
      <c r="K260" t="str">
        <f t="shared" si="21"/>
        <v/>
      </c>
      <c r="L260" t="str">
        <f t="shared" si="22"/>
        <v>Active</v>
      </c>
      <c r="M260">
        <f t="shared" ca="1" si="23"/>
        <v>1815</v>
      </c>
      <c r="N260" t="str">
        <f t="shared" si="24"/>
        <v>30-39</v>
      </c>
      <c r="O260" t="str">
        <f t="shared" si="25"/>
        <v/>
      </c>
    </row>
    <row r="261" spans="1:15" x14ac:dyDescent="0.35">
      <c r="A261">
        <v>1260</v>
      </c>
      <c r="B261" t="s">
        <v>19</v>
      </c>
      <c r="C261" t="s">
        <v>11</v>
      </c>
      <c r="D261">
        <v>28</v>
      </c>
      <c r="E261" t="s">
        <v>12</v>
      </c>
      <c r="F261" s="1">
        <v>44124</v>
      </c>
      <c r="G261">
        <v>8443</v>
      </c>
      <c r="H261">
        <v>3</v>
      </c>
      <c r="I261">
        <v>9</v>
      </c>
      <c r="K261" t="str">
        <f t="shared" si="21"/>
        <v/>
      </c>
      <c r="L261" t="str">
        <f t="shared" si="22"/>
        <v>Active</v>
      </c>
      <c r="M261">
        <f t="shared" ca="1" si="23"/>
        <v>1857</v>
      </c>
      <c r="N261" t="str">
        <f t="shared" si="24"/>
        <v>Under 30</v>
      </c>
      <c r="O261" t="str">
        <f t="shared" si="25"/>
        <v/>
      </c>
    </row>
    <row r="262" spans="1:15" x14ac:dyDescent="0.35">
      <c r="A262">
        <v>1261</v>
      </c>
      <c r="B262" t="s">
        <v>10</v>
      </c>
      <c r="C262" t="s">
        <v>14</v>
      </c>
      <c r="D262">
        <v>52</v>
      </c>
      <c r="E262" t="s">
        <v>12</v>
      </c>
      <c r="F262" s="1">
        <v>44060</v>
      </c>
      <c r="G262">
        <v>8826</v>
      </c>
      <c r="H262">
        <v>3</v>
      </c>
      <c r="I262">
        <v>16</v>
      </c>
      <c r="K262" t="str">
        <f t="shared" si="21"/>
        <v/>
      </c>
      <c r="L262" t="str">
        <f t="shared" si="22"/>
        <v>Active</v>
      </c>
      <c r="M262">
        <f t="shared" ca="1" si="23"/>
        <v>1921</v>
      </c>
      <c r="N262" t="str">
        <f t="shared" si="24"/>
        <v>50+</v>
      </c>
      <c r="O262" t="str">
        <f t="shared" si="25"/>
        <v/>
      </c>
    </row>
    <row r="263" spans="1:15" x14ac:dyDescent="0.35">
      <c r="A263">
        <v>1262</v>
      </c>
      <c r="B263" t="s">
        <v>16</v>
      </c>
      <c r="C263" t="s">
        <v>14</v>
      </c>
      <c r="D263">
        <v>31</v>
      </c>
      <c r="E263" t="s">
        <v>12</v>
      </c>
      <c r="F263" s="1">
        <v>42898</v>
      </c>
      <c r="G263">
        <v>6758</v>
      </c>
      <c r="H263">
        <v>4</v>
      </c>
      <c r="I263">
        <v>4</v>
      </c>
      <c r="K263" t="str">
        <f t="shared" si="21"/>
        <v/>
      </c>
      <c r="L263" t="str">
        <f t="shared" si="22"/>
        <v>Active</v>
      </c>
      <c r="M263">
        <f t="shared" ca="1" si="23"/>
        <v>3083</v>
      </c>
      <c r="N263" t="str">
        <f t="shared" si="24"/>
        <v>30-39</v>
      </c>
      <c r="O263" t="str">
        <f t="shared" si="25"/>
        <v/>
      </c>
    </row>
    <row r="264" spans="1:15" x14ac:dyDescent="0.35">
      <c r="A264">
        <v>1263</v>
      </c>
      <c r="B264" t="s">
        <v>19</v>
      </c>
      <c r="C264" t="s">
        <v>14</v>
      </c>
      <c r="D264">
        <v>60</v>
      </c>
      <c r="E264" t="s">
        <v>18</v>
      </c>
      <c r="F264" s="1">
        <v>44180</v>
      </c>
      <c r="G264">
        <v>8048</v>
      </c>
      <c r="H264">
        <v>4</v>
      </c>
      <c r="I264">
        <v>15</v>
      </c>
      <c r="K264" t="str">
        <f t="shared" si="21"/>
        <v/>
      </c>
      <c r="L264" t="str">
        <f t="shared" si="22"/>
        <v>Active</v>
      </c>
      <c r="M264">
        <f t="shared" ca="1" si="23"/>
        <v>1801</v>
      </c>
      <c r="N264" t="str">
        <f t="shared" si="24"/>
        <v>50+</v>
      </c>
      <c r="O264" t="str">
        <f t="shared" si="25"/>
        <v/>
      </c>
    </row>
    <row r="265" spans="1:15" x14ac:dyDescent="0.35">
      <c r="A265">
        <v>1264</v>
      </c>
      <c r="B265" t="s">
        <v>13</v>
      </c>
      <c r="C265" t="s">
        <v>14</v>
      </c>
      <c r="D265">
        <v>34</v>
      </c>
      <c r="E265" t="s">
        <v>12</v>
      </c>
      <c r="F265" s="1">
        <v>44774</v>
      </c>
      <c r="G265">
        <v>3374</v>
      </c>
      <c r="H265">
        <v>1</v>
      </c>
      <c r="I265">
        <v>6</v>
      </c>
      <c r="J265" s="1">
        <v>44998</v>
      </c>
      <c r="K265">
        <f t="shared" si="21"/>
        <v>44998</v>
      </c>
      <c r="L265" t="str">
        <f t="shared" si="22"/>
        <v>Exited</v>
      </c>
      <c r="M265">
        <f t="shared" ca="1" si="23"/>
        <v>224</v>
      </c>
      <c r="N265" t="str">
        <f t="shared" si="24"/>
        <v>30-39</v>
      </c>
      <c r="O265" t="str">
        <f t="shared" si="25"/>
        <v/>
      </c>
    </row>
    <row r="266" spans="1:15" x14ac:dyDescent="0.35">
      <c r="A266">
        <v>1265</v>
      </c>
      <c r="B266" t="s">
        <v>19</v>
      </c>
      <c r="C266" t="s">
        <v>14</v>
      </c>
      <c r="D266">
        <v>52</v>
      </c>
      <c r="E266" t="s">
        <v>12</v>
      </c>
      <c r="F266" s="1">
        <v>42730</v>
      </c>
      <c r="G266">
        <v>4710</v>
      </c>
      <c r="H266">
        <v>3</v>
      </c>
      <c r="I266">
        <v>8</v>
      </c>
      <c r="K266" t="str">
        <f t="shared" si="21"/>
        <v/>
      </c>
      <c r="L266" t="str">
        <f t="shared" si="22"/>
        <v>Active</v>
      </c>
      <c r="M266">
        <f t="shared" ca="1" si="23"/>
        <v>3251</v>
      </c>
      <c r="N266" t="str">
        <f t="shared" si="24"/>
        <v>50+</v>
      </c>
      <c r="O266" t="str">
        <f t="shared" si="25"/>
        <v/>
      </c>
    </row>
    <row r="267" spans="1:15" x14ac:dyDescent="0.35">
      <c r="A267">
        <v>1266</v>
      </c>
      <c r="B267" t="s">
        <v>10</v>
      </c>
      <c r="C267" t="s">
        <v>11</v>
      </c>
      <c r="D267">
        <v>28</v>
      </c>
      <c r="E267" t="s">
        <v>12</v>
      </c>
      <c r="F267" s="1">
        <v>43599</v>
      </c>
      <c r="G267">
        <v>7908</v>
      </c>
      <c r="H267">
        <v>2</v>
      </c>
      <c r="I267">
        <v>2</v>
      </c>
      <c r="K267" t="str">
        <f t="shared" si="21"/>
        <v/>
      </c>
      <c r="L267" t="str">
        <f t="shared" si="22"/>
        <v>Active</v>
      </c>
      <c r="M267">
        <f t="shared" ca="1" si="23"/>
        <v>2382</v>
      </c>
      <c r="N267" t="str">
        <f t="shared" si="24"/>
        <v>Under 30</v>
      </c>
      <c r="O267" t="str">
        <f t="shared" si="25"/>
        <v/>
      </c>
    </row>
    <row r="268" spans="1:15" x14ac:dyDescent="0.35">
      <c r="A268">
        <v>1267</v>
      </c>
      <c r="B268" t="s">
        <v>15</v>
      </c>
      <c r="C268" t="s">
        <v>14</v>
      </c>
      <c r="D268">
        <v>57</v>
      </c>
      <c r="E268" t="s">
        <v>12</v>
      </c>
      <c r="F268" s="1">
        <v>42222</v>
      </c>
      <c r="G268">
        <v>6404</v>
      </c>
      <c r="H268">
        <v>3</v>
      </c>
      <c r="I268">
        <v>14</v>
      </c>
      <c r="K268" t="str">
        <f t="shared" si="21"/>
        <v/>
      </c>
      <c r="L268" t="str">
        <f t="shared" si="22"/>
        <v>Active</v>
      </c>
      <c r="M268">
        <f t="shared" ca="1" si="23"/>
        <v>3759</v>
      </c>
      <c r="N268" t="str">
        <f t="shared" si="24"/>
        <v>50+</v>
      </c>
      <c r="O268" t="str">
        <f t="shared" si="25"/>
        <v/>
      </c>
    </row>
    <row r="269" spans="1:15" x14ac:dyDescent="0.35">
      <c r="A269">
        <v>1268</v>
      </c>
      <c r="B269" t="s">
        <v>19</v>
      </c>
      <c r="C269" t="s">
        <v>11</v>
      </c>
      <c r="D269">
        <v>41</v>
      </c>
      <c r="E269" t="s">
        <v>21</v>
      </c>
      <c r="F269" s="1">
        <v>42282</v>
      </c>
      <c r="G269">
        <v>3469</v>
      </c>
      <c r="H269">
        <v>1</v>
      </c>
      <c r="I269">
        <v>15</v>
      </c>
      <c r="J269" s="1">
        <v>42765</v>
      </c>
      <c r="K269">
        <f t="shared" si="21"/>
        <v>42765</v>
      </c>
      <c r="L269" t="str">
        <f t="shared" si="22"/>
        <v>Exited</v>
      </c>
      <c r="M269">
        <f t="shared" ca="1" si="23"/>
        <v>483</v>
      </c>
      <c r="N269" t="str">
        <f t="shared" si="24"/>
        <v>40-49</v>
      </c>
      <c r="O269" t="str">
        <f t="shared" si="25"/>
        <v/>
      </c>
    </row>
    <row r="270" spans="1:15" x14ac:dyDescent="0.35">
      <c r="A270">
        <v>1269</v>
      </c>
      <c r="B270" t="s">
        <v>19</v>
      </c>
      <c r="C270" t="s">
        <v>14</v>
      </c>
      <c r="D270">
        <v>25</v>
      </c>
      <c r="E270" t="s">
        <v>12</v>
      </c>
      <c r="F270" s="1">
        <v>43810</v>
      </c>
      <c r="G270">
        <v>7164</v>
      </c>
      <c r="H270">
        <v>4</v>
      </c>
      <c r="I270">
        <v>17</v>
      </c>
      <c r="K270" t="str">
        <f t="shared" si="21"/>
        <v/>
      </c>
      <c r="L270" t="str">
        <f t="shared" si="22"/>
        <v>Active</v>
      </c>
      <c r="M270">
        <f t="shared" ca="1" si="23"/>
        <v>2171</v>
      </c>
      <c r="N270" t="str">
        <f t="shared" si="24"/>
        <v>Under 30</v>
      </c>
      <c r="O270" t="str">
        <f t="shared" si="25"/>
        <v/>
      </c>
    </row>
    <row r="271" spans="1:15" x14ac:dyDescent="0.35">
      <c r="A271">
        <v>1270</v>
      </c>
      <c r="B271" t="s">
        <v>13</v>
      </c>
      <c r="C271" t="s">
        <v>11</v>
      </c>
      <c r="D271">
        <v>28</v>
      </c>
      <c r="E271" t="s">
        <v>12</v>
      </c>
      <c r="F271" s="1">
        <v>42829</v>
      </c>
      <c r="G271">
        <v>4083</v>
      </c>
      <c r="H271">
        <v>4</v>
      </c>
      <c r="I271">
        <v>13</v>
      </c>
      <c r="J271" s="1">
        <v>44501</v>
      </c>
      <c r="K271">
        <f t="shared" si="21"/>
        <v>44501</v>
      </c>
      <c r="L271" t="str">
        <f t="shared" si="22"/>
        <v>Exited</v>
      </c>
      <c r="M271">
        <f t="shared" ca="1" si="23"/>
        <v>1672</v>
      </c>
      <c r="N271" t="str">
        <f t="shared" si="24"/>
        <v>Under 30</v>
      </c>
      <c r="O271" t="str">
        <f t="shared" si="25"/>
        <v/>
      </c>
    </row>
    <row r="272" spans="1:15" x14ac:dyDescent="0.35">
      <c r="A272">
        <v>1271</v>
      </c>
      <c r="B272" t="s">
        <v>13</v>
      </c>
      <c r="C272" t="s">
        <v>20</v>
      </c>
      <c r="D272">
        <v>22</v>
      </c>
      <c r="E272" t="s">
        <v>12</v>
      </c>
      <c r="F272" s="1">
        <v>43386</v>
      </c>
      <c r="G272">
        <v>3723</v>
      </c>
      <c r="H272">
        <v>1</v>
      </c>
      <c r="I272">
        <v>2</v>
      </c>
      <c r="K272" t="str">
        <f t="shared" si="21"/>
        <v/>
      </c>
      <c r="L272" t="str">
        <f t="shared" si="22"/>
        <v>Active</v>
      </c>
      <c r="M272">
        <f t="shared" ca="1" si="23"/>
        <v>2595</v>
      </c>
      <c r="N272" t="str">
        <f t="shared" si="24"/>
        <v>Under 30</v>
      </c>
      <c r="O272" t="str">
        <f t="shared" si="25"/>
        <v/>
      </c>
    </row>
    <row r="273" spans="1:15" x14ac:dyDescent="0.35">
      <c r="A273">
        <v>1272</v>
      </c>
      <c r="B273" t="s">
        <v>16</v>
      </c>
      <c r="C273" t="s">
        <v>14</v>
      </c>
      <c r="D273">
        <v>34</v>
      </c>
      <c r="E273" t="s">
        <v>12</v>
      </c>
      <c r="F273" s="1">
        <v>42958</v>
      </c>
      <c r="G273">
        <v>3925</v>
      </c>
      <c r="H273">
        <v>2</v>
      </c>
      <c r="I273">
        <v>11</v>
      </c>
      <c r="K273" t="str">
        <f t="shared" si="21"/>
        <v/>
      </c>
      <c r="L273" t="str">
        <f t="shared" si="22"/>
        <v>Active</v>
      </c>
      <c r="M273">
        <f t="shared" ca="1" si="23"/>
        <v>3023</v>
      </c>
      <c r="N273" t="str">
        <f t="shared" si="24"/>
        <v>30-39</v>
      </c>
      <c r="O273" t="str">
        <f t="shared" si="25"/>
        <v/>
      </c>
    </row>
    <row r="274" spans="1:15" x14ac:dyDescent="0.35">
      <c r="A274">
        <v>1273</v>
      </c>
      <c r="B274" t="s">
        <v>13</v>
      </c>
      <c r="C274" t="s">
        <v>14</v>
      </c>
      <c r="D274">
        <v>43</v>
      </c>
      <c r="E274" t="s">
        <v>12</v>
      </c>
      <c r="F274" s="1">
        <v>42280</v>
      </c>
      <c r="G274">
        <v>4329</v>
      </c>
      <c r="H274">
        <v>4</v>
      </c>
      <c r="I274">
        <v>8</v>
      </c>
      <c r="K274" t="str">
        <f t="shared" si="21"/>
        <v/>
      </c>
      <c r="L274" t="str">
        <f t="shared" si="22"/>
        <v>Active</v>
      </c>
      <c r="M274">
        <f t="shared" ca="1" si="23"/>
        <v>3701</v>
      </c>
      <c r="N274" t="str">
        <f t="shared" si="24"/>
        <v>40-49</v>
      </c>
      <c r="O274" t="str">
        <f t="shared" si="25"/>
        <v/>
      </c>
    </row>
    <row r="275" spans="1:15" x14ac:dyDescent="0.35">
      <c r="A275">
        <v>1274</v>
      </c>
      <c r="B275" t="s">
        <v>17</v>
      </c>
      <c r="C275" t="s">
        <v>14</v>
      </c>
      <c r="D275">
        <v>42</v>
      </c>
      <c r="E275" t="s">
        <v>12</v>
      </c>
      <c r="F275" s="1">
        <v>42339</v>
      </c>
      <c r="G275">
        <v>8654</v>
      </c>
      <c r="H275">
        <v>5</v>
      </c>
      <c r="I275">
        <v>6</v>
      </c>
      <c r="K275" t="str">
        <f t="shared" si="21"/>
        <v/>
      </c>
      <c r="L275" t="str">
        <f t="shared" si="22"/>
        <v>Active</v>
      </c>
      <c r="M275">
        <f t="shared" ca="1" si="23"/>
        <v>3642</v>
      </c>
      <c r="N275" t="str">
        <f t="shared" si="24"/>
        <v>40-49</v>
      </c>
      <c r="O275" t="str">
        <f t="shared" si="25"/>
        <v/>
      </c>
    </row>
    <row r="276" spans="1:15" x14ac:dyDescent="0.35">
      <c r="A276">
        <v>1275</v>
      </c>
      <c r="B276" t="s">
        <v>10</v>
      </c>
      <c r="C276" t="s">
        <v>11</v>
      </c>
      <c r="D276">
        <v>43</v>
      </c>
      <c r="E276" t="s">
        <v>21</v>
      </c>
      <c r="F276" s="1">
        <v>43502</v>
      </c>
      <c r="G276">
        <v>4394</v>
      </c>
      <c r="H276">
        <v>4</v>
      </c>
      <c r="I276">
        <v>8</v>
      </c>
      <c r="K276" t="str">
        <f t="shared" si="21"/>
        <v/>
      </c>
      <c r="L276" t="str">
        <f t="shared" si="22"/>
        <v>Active</v>
      </c>
      <c r="M276">
        <f t="shared" ca="1" si="23"/>
        <v>2479</v>
      </c>
      <c r="N276" t="str">
        <f t="shared" si="24"/>
        <v>40-49</v>
      </c>
      <c r="O276" t="str">
        <f t="shared" si="25"/>
        <v/>
      </c>
    </row>
    <row r="277" spans="1:15" x14ac:dyDescent="0.35">
      <c r="A277">
        <v>1276</v>
      </c>
      <c r="B277" t="s">
        <v>10</v>
      </c>
      <c r="C277" t="s">
        <v>11</v>
      </c>
      <c r="D277">
        <v>49</v>
      </c>
      <c r="E277" t="s">
        <v>12</v>
      </c>
      <c r="F277" s="1">
        <v>44183</v>
      </c>
      <c r="G277">
        <v>3046</v>
      </c>
      <c r="H277">
        <v>5</v>
      </c>
      <c r="I277">
        <v>12</v>
      </c>
      <c r="K277" t="str">
        <f t="shared" si="21"/>
        <v/>
      </c>
      <c r="L277" t="str">
        <f t="shared" si="22"/>
        <v>Active</v>
      </c>
      <c r="M277">
        <f t="shared" ca="1" si="23"/>
        <v>1798</v>
      </c>
      <c r="N277" t="str">
        <f t="shared" si="24"/>
        <v>40-49</v>
      </c>
      <c r="O277" t="str">
        <f t="shared" si="25"/>
        <v/>
      </c>
    </row>
    <row r="278" spans="1:15" x14ac:dyDescent="0.35">
      <c r="A278">
        <v>1277</v>
      </c>
      <c r="B278" t="s">
        <v>15</v>
      </c>
      <c r="C278" t="s">
        <v>14</v>
      </c>
      <c r="D278">
        <v>30</v>
      </c>
      <c r="E278" t="s">
        <v>12</v>
      </c>
      <c r="F278" s="1">
        <v>43093</v>
      </c>
      <c r="G278">
        <v>6511</v>
      </c>
      <c r="H278">
        <v>1</v>
      </c>
      <c r="I278">
        <v>17</v>
      </c>
      <c r="K278" t="str">
        <f t="shared" si="21"/>
        <v/>
      </c>
      <c r="L278" t="str">
        <f t="shared" si="22"/>
        <v>Active</v>
      </c>
      <c r="M278">
        <f t="shared" ca="1" si="23"/>
        <v>2888</v>
      </c>
      <c r="N278" t="str">
        <f t="shared" si="24"/>
        <v>30-39</v>
      </c>
      <c r="O278" t="str">
        <f t="shared" si="25"/>
        <v/>
      </c>
    </row>
    <row r="279" spans="1:15" x14ac:dyDescent="0.35">
      <c r="A279">
        <v>1278</v>
      </c>
      <c r="B279" t="s">
        <v>15</v>
      </c>
      <c r="C279" t="s">
        <v>11</v>
      </c>
      <c r="D279">
        <v>47</v>
      </c>
      <c r="E279" t="s">
        <v>12</v>
      </c>
      <c r="F279" s="1">
        <v>45056</v>
      </c>
      <c r="G279">
        <v>4360</v>
      </c>
      <c r="H279">
        <v>1</v>
      </c>
      <c r="I279">
        <v>4</v>
      </c>
      <c r="K279" t="str">
        <f t="shared" si="21"/>
        <v/>
      </c>
      <c r="L279" t="str">
        <f t="shared" si="22"/>
        <v>Active</v>
      </c>
      <c r="M279">
        <f t="shared" ca="1" si="23"/>
        <v>925</v>
      </c>
      <c r="N279" t="str">
        <f t="shared" si="24"/>
        <v>40-49</v>
      </c>
      <c r="O279" t="str">
        <f t="shared" si="25"/>
        <v/>
      </c>
    </row>
    <row r="280" spans="1:15" x14ac:dyDescent="0.35">
      <c r="A280">
        <v>1279</v>
      </c>
      <c r="B280" t="s">
        <v>10</v>
      </c>
      <c r="C280" t="s">
        <v>14</v>
      </c>
      <c r="D280">
        <v>30</v>
      </c>
      <c r="E280" t="s">
        <v>21</v>
      </c>
      <c r="F280" s="1">
        <v>43713</v>
      </c>
      <c r="G280">
        <v>9074</v>
      </c>
      <c r="H280">
        <v>4</v>
      </c>
      <c r="I280">
        <v>12</v>
      </c>
      <c r="J280" s="1">
        <v>44793</v>
      </c>
      <c r="K280">
        <f t="shared" si="21"/>
        <v>44793</v>
      </c>
      <c r="L280" t="str">
        <f t="shared" si="22"/>
        <v>Exited</v>
      </c>
      <c r="M280">
        <f t="shared" ca="1" si="23"/>
        <v>1080</v>
      </c>
      <c r="N280" t="str">
        <f t="shared" si="24"/>
        <v>30-39</v>
      </c>
      <c r="O280" t="str">
        <f t="shared" si="25"/>
        <v/>
      </c>
    </row>
    <row r="281" spans="1:15" x14ac:dyDescent="0.35">
      <c r="A281">
        <v>1280</v>
      </c>
      <c r="B281" t="s">
        <v>15</v>
      </c>
      <c r="C281" t="s">
        <v>14</v>
      </c>
      <c r="D281">
        <v>36</v>
      </c>
      <c r="E281" t="s">
        <v>12</v>
      </c>
      <c r="F281" s="1">
        <v>44674</v>
      </c>
      <c r="G281">
        <v>5200</v>
      </c>
      <c r="H281">
        <v>3</v>
      </c>
      <c r="I281">
        <v>3</v>
      </c>
      <c r="K281" t="str">
        <f t="shared" si="21"/>
        <v/>
      </c>
      <c r="L281" t="str">
        <f t="shared" si="22"/>
        <v>Active</v>
      </c>
      <c r="M281">
        <f t="shared" ca="1" si="23"/>
        <v>1307</v>
      </c>
      <c r="N281" t="str">
        <f t="shared" si="24"/>
        <v>30-39</v>
      </c>
      <c r="O281" t="str">
        <f t="shared" si="25"/>
        <v/>
      </c>
    </row>
    <row r="282" spans="1:15" x14ac:dyDescent="0.35">
      <c r="A282">
        <v>1281</v>
      </c>
      <c r="B282" t="s">
        <v>16</v>
      </c>
      <c r="C282" t="s">
        <v>11</v>
      </c>
      <c r="D282">
        <v>31</v>
      </c>
      <c r="E282" t="s">
        <v>21</v>
      </c>
      <c r="F282" s="1">
        <v>42318</v>
      </c>
      <c r="G282">
        <v>5043</v>
      </c>
      <c r="H282">
        <v>5</v>
      </c>
      <c r="I282">
        <v>1</v>
      </c>
      <c r="K282" t="str">
        <f t="shared" si="21"/>
        <v/>
      </c>
      <c r="L282" t="str">
        <f t="shared" si="22"/>
        <v>Active</v>
      </c>
      <c r="M282">
        <f t="shared" ca="1" si="23"/>
        <v>3663</v>
      </c>
      <c r="N282" t="str">
        <f t="shared" si="24"/>
        <v>30-39</v>
      </c>
      <c r="O282" t="str">
        <f t="shared" si="25"/>
        <v/>
      </c>
    </row>
    <row r="283" spans="1:15" x14ac:dyDescent="0.35">
      <c r="A283">
        <v>1282</v>
      </c>
      <c r="B283" t="s">
        <v>13</v>
      </c>
      <c r="C283" t="s">
        <v>14</v>
      </c>
      <c r="D283">
        <v>45</v>
      </c>
      <c r="E283" t="s">
        <v>12</v>
      </c>
      <c r="F283" s="1">
        <v>43628</v>
      </c>
      <c r="G283">
        <v>6664</v>
      </c>
      <c r="H283">
        <v>2</v>
      </c>
      <c r="I283">
        <v>15</v>
      </c>
      <c r="K283" t="str">
        <f t="shared" si="21"/>
        <v/>
      </c>
      <c r="L283" t="str">
        <f t="shared" si="22"/>
        <v>Active</v>
      </c>
      <c r="M283">
        <f t="shared" ca="1" si="23"/>
        <v>2353</v>
      </c>
      <c r="N283" t="str">
        <f t="shared" si="24"/>
        <v>40-49</v>
      </c>
      <c r="O283" t="str">
        <f t="shared" si="25"/>
        <v/>
      </c>
    </row>
    <row r="284" spans="1:15" x14ac:dyDescent="0.35">
      <c r="A284">
        <v>1283</v>
      </c>
      <c r="B284" t="s">
        <v>10</v>
      </c>
      <c r="C284" t="s">
        <v>11</v>
      </c>
      <c r="D284">
        <v>29</v>
      </c>
      <c r="E284" t="s">
        <v>12</v>
      </c>
      <c r="F284" s="1">
        <v>42737</v>
      </c>
      <c r="G284">
        <v>4739</v>
      </c>
      <c r="H284">
        <v>4</v>
      </c>
      <c r="I284">
        <v>8</v>
      </c>
      <c r="J284" s="1">
        <v>43237</v>
      </c>
      <c r="K284">
        <f t="shared" si="21"/>
        <v>43237</v>
      </c>
      <c r="L284" t="str">
        <f t="shared" si="22"/>
        <v>Exited</v>
      </c>
      <c r="M284">
        <f t="shared" ca="1" si="23"/>
        <v>500</v>
      </c>
      <c r="N284" t="str">
        <f t="shared" si="24"/>
        <v>Under 30</v>
      </c>
      <c r="O284" t="str">
        <f t="shared" si="25"/>
        <v/>
      </c>
    </row>
    <row r="285" spans="1:15" x14ac:dyDescent="0.35">
      <c r="A285">
        <v>1284</v>
      </c>
      <c r="B285" t="s">
        <v>15</v>
      </c>
      <c r="C285" t="s">
        <v>14</v>
      </c>
      <c r="D285">
        <v>45</v>
      </c>
      <c r="E285" t="s">
        <v>21</v>
      </c>
      <c r="F285" s="1">
        <v>42260</v>
      </c>
      <c r="G285">
        <v>7825</v>
      </c>
      <c r="H285">
        <v>2</v>
      </c>
      <c r="I285">
        <v>8</v>
      </c>
      <c r="K285" t="str">
        <f t="shared" si="21"/>
        <v/>
      </c>
      <c r="L285" t="str">
        <f t="shared" si="22"/>
        <v>Active</v>
      </c>
      <c r="M285">
        <f t="shared" ca="1" si="23"/>
        <v>3721</v>
      </c>
      <c r="N285" t="str">
        <f t="shared" si="24"/>
        <v>40-49</v>
      </c>
      <c r="O285" t="str">
        <f t="shared" si="25"/>
        <v/>
      </c>
    </row>
    <row r="286" spans="1:15" x14ac:dyDescent="0.35">
      <c r="A286">
        <v>1285</v>
      </c>
      <c r="B286" t="s">
        <v>10</v>
      </c>
      <c r="C286" t="s">
        <v>20</v>
      </c>
      <c r="D286">
        <v>37</v>
      </c>
      <c r="E286" t="s">
        <v>12</v>
      </c>
      <c r="F286" s="1">
        <v>43108</v>
      </c>
      <c r="G286">
        <v>5869</v>
      </c>
      <c r="H286">
        <v>4</v>
      </c>
      <c r="I286">
        <v>5</v>
      </c>
      <c r="K286" t="str">
        <f t="shared" si="21"/>
        <v/>
      </c>
      <c r="L286" t="str">
        <f t="shared" si="22"/>
        <v>Active</v>
      </c>
      <c r="M286">
        <f t="shared" ca="1" si="23"/>
        <v>2873</v>
      </c>
      <c r="N286" t="str">
        <f t="shared" si="24"/>
        <v>30-39</v>
      </c>
      <c r="O286" t="str">
        <f t="shared" si="25"/>
        <v/>
      </c>
    </row>
    <row r="287" spans="1:15" x14ac:dyDescent="0.35">
      <c r="A287">
        <v>1286</v>
      </c>
      <c r="B287" t="s">
        <v>17</v>
      </c>
      <c r="C287" t="s">
        <v>14</v>
      </c>
      <c r="D287">
        <v>47</v>
      </c>
      <c r="E287" t="s">
        <v>12</v>
      </c>
      <c r="F287" s="1">
        <v>43587</v>
      </c>
      <c r="G287">
        <v>3026</v>
      </c>
      <c r="H287">
        <v>3</v>
      </c>
      <c r="I287">
        <v>10</v>
      </c>
      <c r="K287" t="str">
        <f t="shared" si="21"/>
        <v/>
      </c>
      <c r="L287" t="str">
        <f t="shared" si="22"/>
        <v>Active</v>
      </c>
      <c r="M287">
        <f t="shared" ca="1" si="23"/>
        <v>2394</v>
      </c>
      <c r="N287" t="str">
        <f t="shared" si="24"/>
        <v>40-49</v>
      </c>
      <c r="O287" t="str">
        <f t="shared" si="25"/>
        <v/>
      </c>
    </row>
    <row r="288" spans="1:15" x14ac:dyDescent="0.35">
      <c r="A288">
        <v>1287</v>
      </c>
      <c r="B288" t="s">
        <v>19</v>
      </c>
      <c r="C288" t="s">
        <v>14</v>
      </c>
      <c r="D288">
        <v>48</v>
      </c>
      <c r="E288" t="s">
        <v>12</v>
      </c>
      <c r="F288" s="1">
        <v>44306</v>
      </c>
      <c r="G288">
        <v>6347</v>
      </c>
      <c r="H288">
        <v>3</v>
      </c>
      <c r="I288">
        <v>0</v>
      </c>
      <c r="J288" s="1">
        <v>45597</v>
      </c>
      <c r="K288">
        <f t="shared" si="21"/>
        <v>45597</v>
      </c>
      <c r="L288" t="str">
        <f t="shared" si="22"/>
        <v>Exited</v>
      </c>
      <c r="M288">
        <f t="shared" ca="1" si="23"/>
        <v>1291</v>
      </c>
      <c r="N288" t="str">
        <f t="shared" si="24"/>
        <v>40-49</v>
      </c>
      <c r="O288" t="str">
        <f t="shared" si="25"/>
        <v/>
      </c>
    </row>
    <row r="289" spans="1:15" x14ac:dyDescent="0.35">
      <c r="A289">
        <v>1288</v>
      </c>
      <c r="B289" t="s">
        <v>13</v>
      </c>
      <c r="C289" t="s">
        <v>11</v>
      </c>
      <c r="D289">
        <v>58</v>
      </c>
      <c r="E289" t="s">
        <v>21</v>
      </c>
      <c r="F289" s="1">
        <v>42339</v>
      </c>
      <c r="G289">
        <v>3064</v>
      </c>
      <c r="H289">
        <v>3</v>
      </c>
      <c r="I289">
        <v>3</v>
      </c>
      <c r="K289" t="str">
        <f t="shared" si="21"/>
        <v/>
      </c>
      <c r="L289" t="str">
        <f t="shared" si="22"/>
        <v>Active</v>
      </c>
      <c r="M289">
        <f t="shared" ca="1" si="23"/>
        <v>3642</v>
      </c>
      <c r="N289" t="str">
        <f t="shared" si="24"/>
        <v>50+</v>
      </c>
      <c r="O289" t="str">
        <f t="shared" si="25"/>
        <v/>
      </c>
    </row>
    <row r="290" spans="1:15" x14ac:dyDescent="0.35">
      <c r="A290">
        <v>1289</v>
      </c>
      <c r="B290" t="s">
        <v>10</v>
      </c>
      <c r="C290" t="s">
        <v>14</v>
      </c>
      <c r="D290">
        <v>25</v>
      </c>
      <c r="E290" t="s">
        <v>12</v>
      </c>
      <c r="F290" s="1">
        <v>42799</v>
      </c>
      <c r="G290">
        <v>4195</v>
      </c>
      <c r="H290">
        <v>3</v>
      </c>
      <c r="I290">
        <v>12</v>
      </c>
      <c r="J290" s="1">
        <v>44029</v>
      </c>
      <c r="K290">
        <f t="shared" si="21"/>
        <v>44029</v>
      </c>
      <c r="L290" t="str">
        <f t="shared" si="22"/>
        <v>Exited</v>
      </c>
      <c r="M290">
        <f t="shared" ca="1" si="23"/>
        <v>1230</v>
      </c>
      <c r="N290" t="str">
        <f t="shared" si="24"/>
        <v>Under 30</v>
      </c>
      <c r="O290" t="str">
        <f t="shared" si="25"/>
        <v/>
      </c>
    </row>
    <row r="291" spans="1:15" x14ac:dyDescent="0.35">
      <c r="A291">
        <v>1290</v>
      </c>
      <c r="B291" t="s">
        <v>19</v>
      </c>
      <c r="C291" t="s">
        <v>20</v>
      </c>
      <c r="D291">
        <v>45</v>
      </c>
      <c r="E291" t="s">
        <v>12</v>
      </c>
      <c r="F291" s="1">
        <v>42530</v>
      </c>
      <c r="G291">
        <v>6357</v>
      </c>
      <c r="H291">
        <v>1</v>
      </c>
      <c r="I291">
        <v>12</v>
      </c>
      <c r="K291" t="str">
        <f t="shared" si="21"/>
        <v/>
      </c>
      <c r="L291" t="str">
        <f t="shared" si="22"/>
        <v>Active</v>
      </c>
      <c r="M291">
        <f t="shared" ca="1" si="23"/>
        <v>3451</v>
      </c>
      <c r="N291" t="str">
        <f t="shared" si="24"/>
        <v>40-49</v>
      </c>
      <c r="O291" t="str">
        <f t="shared" si="25"/>
        <v/>
      </c>
    </row>
    <row r="292" spans="1:15" x14ac:dyDescent="0.35">
      <c r="A292">
        <v>1291</v>
      </c>
      <c r="B292" t="s">
        <v>15</v>
      </c>
      <c r="C292" t="s">
        <v>11</v>
      </c>
      <c r="D292">
        <v>40</v>
      </c>
      <c r="E292" t="s">
        <v>12</v>
      </c>
      <c r="F292" s="1">
        <v>44974</v>
      </c>
      <c r="G292">
        <v>8353</v>
      </c>
      <c r="H292">
        <v>1</v>
      </c>
      <c r="I292">
        <v>12</v>
      </c>
      <c r="K292" t="str">
        <f t="shared" si="21"/>
        <v/>
      </c>
      <c r="L292" t="str">
        <f t="shared" si="22"/>
        <v>Active</v>
      </c>
      <c r="M292">
        <f t="shared" ca="1" si="23"/>
        <v>1007</v>
      </c>
      <c r="N292" t="str">
        <f t="shared" si="24"/>
        <v>40-49</v>
      </c>
      <c r="O292" t="str">
        <f t="shared" si="25"/>
        <v/>
      </c>
    </row>
    <row r="293" spans="1:15" x14ac:dyDescent="0.35">
      <c r="A293">
        <v>1292</v>
      </c>
      <c r="B293" t="s">
        <v>19</v>
      </c>
      <c r="C293" t="s">
        <v>11</v>
      </c>
      <c r="D293">
        <v>57</v>
      </c>
      <c r="E293" t="s">
        <v>12</v>
      </c>
      <c r="F293" s="1">
        <v>43899</v>
      </c>
      <c r="G293">
        <v>3445</v>
      </c>
      <c r="H293">
        <v>5</v>
      </c>
      <c r="I293">
        <v>1</v>
      </c>
      <c r="K293" t="str">
        <f t="shared" si="21"/>
        <v/>
      </c>
      <c r="L293" t="str">
        <f t="shared" si="22"/>
        <v>Active</v>
      </c>
      <c r="M293">
        <f t="shared" ca="1" si="23"/>
        <v>2082</v>
      </c>
      <c r="N293" t="str">
        <f t="shared" si="24"/>
        <v>50+</v>
      </c>
      <c r="O293" t="str">
        <f t="shared" si="25"/>
        <v/>
      </c>
    </row>
    <row r="294" spans="1:15" x14ac:dyDescent="0.35">
      <c r="A294">
        <v>1293</v>
      </c>
      <c r="B294" t="s">
        <v>13</v>
      </c>
      <c r="C294" t="s">
        <v>11</v>
      </c>
      <c r="D294">
        <v>60</v>
      </c>
      <c r="E294" t="s">
        <v>12</v>
      </c>
      <c r="F294" s="1">
        <v>42866</v>
      </c>
      <c r="G294">
        <v>9154</v>
      </c>
      <c r="H294">
        <v>2</v>
      </c>
      <c r="I294">
        <v>8</v>
      </c>
      <c r="K294" t="str">
        <f t="shared" si="21"/>
        <v/>
      </c>
      <c r="L294" t="str">
        <f t="shared" si="22"/>
        <v>Active</v>
      </c>
      <c r="M294">
        <f t="shared" ca="1" si="23"/>
        <v>3115</v>
      </c>
      <c r="N294" t="str">
        <f t="shared" si="24"/>
        <v>50+</v>
      </c>
      <c r="O294" t="str">
        <f t="shared" si="25"/>
        <v/>
      </c>
    </row>
    <row r="295" spans="1:15" x14ac:dyDescent="0.35">
      <c r="A295">
        <v>1294</v>
      </c>
      <c r="B295" t="s">
        <v>10</v>
      </c>
      <c r="C295" t="s">
        <v>11</v>
      </c>
      <c r="D295">
        <v>31</v>
      </c>
      <c r="E295" t="s">
        <v>21</v>
      </c>
      <c r="F295" s="1">
        <v>44819</v>
      </c>
      <c r="G295">
        <v>8314</v>
      </c>
      <c r="H295">
        <v>4</v>
      </c>
      <c r="I295">
        <v>7</v>
      </c>
      <c r="K295" t="str">
        <f t="shared" si="21"/>
        <v/>
      </c>
      <c r="L295" t="str">
        <f t="shared" si="22"/>
        <v>Active</v>
      </c>
      <c r="M295">
        <f t="shared" ca="1" si="23"/>
        <v>1162</v>
      </c>
      <c r="N295" t="str">
        <f t="shared" si="24"/>
        <v>30-39</v>
      </c>
      <c r="O295" t="str">
        <f t="shared" si="25"/>
        <v/>
      </c>
    </row>
    <row r="296" spans="1:15" x14ac:dyDescent="0.35">
      <c r="A296">
        <v>1295</v>
      </c>
      <c r="B296" t="s">
        <v>17</v>
      </c>
      <c r="C296" t="s">
        <v>11</v>
      </c>
      <c r="D296">
        <v>46</v>
      </c>
      <c r="E296" t="s">
        <v>21</v>
      </c>
      <c r="F296" s="1">
        <v>44616</v>
      </c>
      <c r="G296">
        <v>8369</v>
      </c>
      <c r="H296">
        <v>4</v>
      </c>
      <c r="I296">
        <v>6</v>
      </c>
      <c r="K296" t="str">
        <f t="shared" si="21"/>
        <v/>
      </c>
      <c r="L296" t="str">
        <f t="shared" si="22"/>
        <v>Active</v>
      </c>
      <c r="M296">
        <f t="shared" ca="1" si="23"/>
        <v>1365</v>
      </c>
      <c r="N296" t="str">
        <f t="shared" si="24"/>
        <v>40-49</v>
      </c>
      <c r="O296" t="str">
        <f t="shared" si="25"/>
        <v/>
      </c>
    </row>
    <row r="297" spans="1:15" x14ac:dyDescent="0.35">
      <c r="A297">
        <v>1296</v>
      </c>
      <c r="B297" t="s">
        <v>15</v>
      </c>
      <c r="C297" t="s">
        <v>11</v>
      </c>
      <c r="D297">
        <v>39</v>
      </c>
      <c r="E297" t="s">
        <v>21</v>
      </c>
      <c r="F297" s="1">
        <v>42649</v>
      </c>
      <c r="G297">
        <v>5790</v>
      </c>
      <c r="H297">
        <v>1</v>
      </c>
      <c r="I297">
        <v>3</v>
      </c>
      <c r="K297" t="str">
        <f t="shared" si="21"/>
        <v/>
      </c>
      <c r="L297" t="str">
        <f t="shared" si="22"/>
        <v>Active</v>
      </c>
      <c r="M297">
        <f t="shared" ca="1" si="23"/>
        <v>3332</v>
      </c>
      <c r="N297" t="str">
        <f t="shared" si="24"/>
        <v>30-39</v>
      </c>
      <c r="O297" t="str">
        <f t="shared" si="25"/>
        <v/>
      </c>
    </row>
    <row r="298" spans="1:15" x14ac:dyDescent="0.35">
      <c r="A298">
        <v>1297</v>
      </c>
      <c r="B298" t="s">
        <v>10</v>
      </c>
      <c r="C298" t="s">
        <v>11</v>
      </c>
      <c r="D298">
        <v>40</v>
      </c>
      <c r="E298" t="s">
        <v>12</v>
      </c>
      <c r="F298" s="1">
        <v>44066</v>
      </c>
      <c r="G298">
        <v>8283</v>
      </c>
      <c r="H298">
        <v>4</v>
      </c>
      <c r="I298">
        <v>17</v>
      </c>
      <c r="K298" t="str">
        <f t="shared" si="21"/>
        <v/>
      </c>
      <c r="L298" t="str">
        <f t="shared" si="22"/>
        <v>Active</v>
      </c>
      <c r="M298">
        <f t="shared" ca="1" si="23"/>
        <v>1915</v>
      </c>
      <c r="N298" t="str">
        <f t="shared" si="24"/>
        <v>40-49</v>
      </c>
      <c r="O298" t="str">
        <f t="shared" si="25"/>
        <v/>
      </c>
    </row>
    <row r="299" spans="1:15" x14ac:dyDescent="0.35">
      <c r="A299">
        <v>1298</v>
      </c>
      <c r="B299" t="s">
        <v>13</v>
      </c>
      <c r="C299" t="s">
        <v>14</v>
      </c>
      <c r="D299">
        <v>57</v>
      </c>
      <c r="E299" t="s">
        <v>12</v>
      </c>
      <c r="F299" s="1">
        <v>44230</v>
      </c>
      <c r="G299">
        <v>4699</v>
      </c>
      <c r="H299">
        <v>1</v>
      </c>
      <c r="I299">
        <v>2</v>
      </c>
      <c r="K299" t="str">
        <f t="shared" si="21"/>
        <v/>
      </c>
      <c r="L299" t="str">
        <f t="shared" si="22"/>
        <v>Active</v>
      </c>
      <c r="M299">
        <f t="shared" ca="1" si="23"/>
        <v>1751</v>
      </c>
      <c r="N299" t="str">
        <f t="shared" si="24"/>
        <v>50+</v>
      </c>
      <c r="O299" t="str">
        <f t="shared" si="25"/>
        <v/>
      </c>
    </row>
    <row r="300" spans="1:15" x14ac:dyDescent="0.35">
      <c r="A300">
        <v>1299</v>
      </c>
      <c r="B300" t="s">
        <v>15</v>
      </c>
      <c r="C300" t="s">
        <v>14</v>
      </c>
      <c r="D300">
        <v>31</v>
      </c>
      <c r="E300" t="s">
        <v>21</v>
      </c>
      <c r="F300" s="1">
        <v>42691</v>
      </c>
      <c r="G300">
        <v>5304</v>
      </c>
      <c r="H300">
        <v>5</v>
      </c>
      <c r="I300">
        <v>5</v>
      </c>
      <c r="K300" t="str">
        <f t="shared" si="21"/>
        <v/>
      </c>
      <c r="L300" t="str">
        <f t="shared" si="22"/>
        <v>Active</v>
      </c>
      <c r="M300">
        <f t="shared" ca="1" si="23"/>
        <v>3290</v>
      </c>
      <c r="N300" t="str">
        <f t="shared" si="24"/>
        <v>30-39</v>
      </c>
      <c r="O300" t="str">
        <f t="shared" si="25"/>
        <v/>
      </c>
    </row>
    <row r="301" spans="1:15" x14ac:dyDescent="0.35">
      <c r="A301">
        <v>1300</v>
      </c>
      <c r="B301" t="s">
        <v>16</v>
      </c>
      <c r="C301" t="s">
        <v>11</v>
      </c>
      <c r="D301">
        <v>54</v>
      </c>
      <c r="E301" t="s">
        <v>12</v>
      </c>
      <c r="F301" s="1">
        <v>42495</v>
      </c>
      <c r="G301">
        <v>5572</v>
      </c>
      <c r="H301">
        <v>2</v>
      </c>
      <c r="I301">
        <v>11</v>
      </c>
      <c r="J301" s="1">
        <v>43511</v>
      </c>
      <c r="K301">
        <f t="shared" si="21"/>
        <v>43511</v>
      </c>
      <c r="L301" t="str">
        <f t="shared" si="22"/>
        <v>Exited</v>
      </c>
      <c r="M301">
        <f t="shared" ca="1" si="23"/>
        <v>1016</v>
      </c>
      <c r="N301" t="str">
        <f t="shared" si="24"/>
        <v>50+</v>
      </c>
      <c r="O301" t="str">
        <f t="shared" si="25"/>
        <v/>
      </c>
    </row>
    <row r="302" spans="1:15" x14ac:dyDescent="0.35">
      <c r="A302">
        <v>1301</v>
      </c>
      <c r="B302" t="s">
        <v>19</v>
      </c>
      <c r="C302" t="s">
        <v>14</v>
      </c>
      <c r="D302">
        <v>26</v>
      </c>
      <c r="E302" t="s">
        <v>21</v>
      </c>
      <c r="F302" s="1">
        <v>42213</v>
      </c>
      <c r="G302">
        <v>8145</v>
      </c>
      <c r="H302">
        <v>5</v>
      </c>
      <c r="I302">
        <v>11</v>
      </c>
      <c r="K302" t="str">
        <f t="shared" si="21"/>
        <v/>
      </c>
      <c r="L302" t="str">
        <f t="shared" si="22"/>
        <v>Active</v>
      </c>
      <c r="M302">
        <f t="shared" ca="1" si="23"/>
        <v>3768</v>
      </c>
      <c r="N302" t="str">
        <f t="shared" si="24"/>
        <v>Under 30</v>
      </c>
      <c r="O302" t="str">
        <f t="shared" si="25"/>
        <v/>
      </c>
    </row>
    <row r="303" spans="1:15" x14ac:dyDescent="0.35">
      <c r="A303">
        <v>1302</v>
      </c>
      <c r="B303" t="s">
        <v>13</v>
      </c>
      <c r="C303" t="s">
        <v>11</v>
      </c>
      <c r="D303">
        <v>56</v>
      </c>
      <c r="E303" t="s">
        <v>21</v>
      </c>
      <c r="F303" s="1">
        <v>44785</v>
      </c>
      <c r="G303">
        <v>7877</v>
      </c>
      <c r="H303">
        <v>3</v>
      </c>
      <c r="I303">
        <v>20</v>
      </c>
      <c r="J303" s="1">
        <v>46145</v>
      </c>
      <c r="K303">
        <f t="shared" si="21"/>
        <v>46145</v>
      </c>
      <c r="L303" t="str">
        <f t="shared" si="22"/>
        <v>Exited</v>
      </c>
      <c r="M303">
        <f t="shared" ca="1" si="23"/>
        <v>1360</v>
      </c>
      <c r="N303" t="str">
        <f t="shared" si="24"/>
        <v>50+</v>
      </c>
      <c r="O303" t="str">
        <f t="shared" si="25"/>
        <v/>
      </c>
    </row>
    <row r="304" spans="1:15" x14ac:dyDescent="0.35">
      <c r="A304">
        <v>1303</v>
      </c>
      <c r="B304" t="s">
        <v>16</v>
      </c>
      <c r="C304" t="s">
        <v>14</v>
      </c>
      <c r="D304">
        <v>55</v>
      </c>
      <c r="E304" t="s">
        <v>12</v>
      </c>
      <c r="F304" s="1">
        <v>42022</v>
      </c>
      <c r="G304">
        <v>3954</v>
      </c>
      <c r="H304">
        <v>3</v>
      </c>
      <c r="I304">
        <v>7</v>
      </c>
      <c r="K304" t="str">
        <f t="shared" si="21"/>
        <v/>
      </c>
      <c r="L304" t="str">
        <f t="shared" si="22"/>
        <v>Active</v>
      </c>
      <c r="M304">
        <f t="shared" ca="1" si="23"/>
        <v>3959</v>
      </c>
      <c r="N304" t="str">
        <f t="shared" si="24"/>
        <v>50+</v>
      </c>
      <c r="O304" t="str">
        <f t="shared" si="25"/>
        <v/>
      </c>
    </row>
    <row r="305" spans="1:15" x14ac:dyDescent="0.35">
      <c r="A305">
        <v>1304</v>
      </c>
      <c r="B305" t="s">
        <v>10</v>
      </c>
      <c r="C305" t="s">
        <v>14</v>
      </c>
      <c r="D305">
        <v>54</v>
      </c>
      <c r="E305" t="s">
        <v>12</v>
      </c>
      <c r="F305" s="1">
        <v>45091</v>
      </c>
      <c r="G305">
        <v>3387</v>
      </c>
      <c r="H305">
        <v>3</v>
      </c>
      <c r="I305">
        <v>0</v>
      </c>
      <c r="K305" t="str">
        <f t="shared" si="21"/>
        <v/>
      </c>
      <c r="L305" t="str">
        <f t="shared" si="22"/>
        <v>Active</v>
      </c>
      <c r="M305">
        <f t="shared" ca="1" si="23"/>
        <v>890</v>
      </c>
      <c r="N305" t="str">
        <f t="shared" si="24"/>
        <v>50+</v>
      </c>
      <c r="O305" t="str">
        <f t="shared" si="25"/>
        <v/>
      </c>
    </row>
    <row r="306" spans="1:15" x14ac:dyDescent="0.35">
      <c r="A306">
        <v>1305</v>
      </c>
      <c r="B306" t="s">
        <v>17</v>
      </c>
      <c r="C306" t="s">
        <v>11</v>
      </c>
      <c r="D306">
        <v>42</v>
      </c>
      <c r="E306" t="s">
        <v>12</v>
      </c>
      <c r="F306" s="1">
        <v>43851</v>
      </c>
      <c r="G306">
        <v>7371</v>
      </c>
      <c r="H306">
        <v>5</v>
      </c>
      <c r="I306">
        <v>3</v>
      </c>
      <c r="K306" t="str">
        <f t="shared" si="21"/>
        <v/>
      </c>
      <c r="L306" t="str">
        <f t="shared" si="22"/>
        <v>Active</v>
      </c>
      <c r="M306">
        <f t="shared" ca="1" si="23"/>
        <v>2130</v>
      </c>
      <c r="N306" t="str">
        <f t="shared" si="24"/>
        <v>40-49</v>
      </c>
      <c r="O306" t="str">
        <f t="shared" si="25"/>
        <v/>
      </c>
    </row>
    <row r="307" spans="1:15" x14ac:dyDescent="0.35">
      <c r="A307">
        <v>1306</v>
      </c>
      <c r="B307" t="s">
        <v>15</v>
      </c>
      <c r="C307" t="s">
        <v>11</v>
      </c>
      <c r="D307">
        <v>38</v>
      </c>
      <c r="E307" t="s">
        <v>12</v>
      </c>
      <c r="F307" s="1">
        <v>44251</v>
      </c>
      <c r="G307">
        <v>4621</v>
      </c>
      <c r="H307">
        <v>4</v>
      </c>
      <c r="I307">
        <v>20</v>
      </c>
      <c r="K307" t="str">
        <f t="shared" si="21"/>
        <v/>
      </c>
      <c r="L307" t="str">
        <f t="shared" si="22"/>
        <v>Active</v>
      </c>
      <c r="M307">
        <f t="shared" ca="1" si="23"/>
        <v>1730</v>
      </c>
      <c r="N307" t="str">
        <f t="shared" si="24"/>
        <v>30-39</v>
      </c>
      <c r="O307" t="str">
        <f t="shared" si="25"/>
        <v/>
      </c>
    </row>
    <row r="308" spans="1:15" x14ac:dyDescent="0.35">
      <c r="A308">
        <v>1307</v>
      </c>
      <c r="B308" t="s">
        <v>19</v>
      </c>
      <c r="C308" t="s">
        <v>14</v>
      </c>
      <c r="D308">
        <v>43</v>
      </c>
      <c r="E308" t="s">
        <v>12</v>
      </c>
      <c r="F308" s="1">
        <v>44207</v>
      </c>
      <c r="G308">
        <v>3785</v>
      </c>
      <c r="H308">
        <v>2</v>
      </c>
      <c r="I308">
        <v>10</v>
      </c>
      <c r="K308" t="str">
        <f t="shared" si="21"/>
        <v/>
      </c>
      <c r="L308" t="str">
        <f t="shared" si="22"/>
        <v>Active</v>
      </c>
      <c r="M308">
        <f t="shared" ca="1" si="23"/>
        <v>1774</v>
      </c>
      <c r="N308" t="str">
        <f t="shared" si="24"/>
        <v>40-49</v>
      </c>
      <c r="O308" t="str">
        <f t="shared" si="25"/>
        <v/>
      </c>
    </row>
    <row r="309" spans="1:15" x14ac:dyDescent="0.35">
      <c r="A309">
        <v>1308</v>
      </c>
      <c r="B309" t="s">
        <v>15</v>
      </c>
      <c r="C309" t="s">
        <v>11</v>
      </c>
      <c r="D309">
        <v>58</v>
      </c>
      <c r="E309" t="s">
        <v>21</v>
      </c>
      <c r="F309" s="1">
        <v>43048</v>
      </c>
      <c r="G309">
        <v>6879</v>
      </c>
      <c r="H309">
        <v>3</v>
      </c>
      <c r="I309">
        <v>2</v>
      </c>
      <c r="K309" t="str">
        <f t="shared" si="21"/>
        <v/>
      </c>
      <c r="L309" t="str">
        <f t="shared" si="22"/>
        <v>Active</v>
      </c>
      <c r="M309">
        <f t="shared" ca="1" si="23"/>
        <v>2933</v>
      </c>
      <c r="N309" t="str">
        <f t="shared" si="24"/>
        <v>50+</v>
      </c>
      <c r="O309" t="str">
        <f t="shared" si="25"/>
        <v/>
      </c>
    </row>
    <row r="310" spans="1:15" x14ac:dyDescent="0.35">
      <c r="A310">
        <v>1309</v>
      </c>
      <c r="B310" t="s">
        <v>10</v>
      </c>
      <c r="C310" t="s">
        <v>11</v>
      </c>
      <c r="D310">
        <v>36</v>
      </c>
      <c r="E310" t="s">
        <v>12</v>
      </c>
      <c r="F310" s="1">
        <v>42492</v>
      </c>
      <c r="G310">
        <v>6148</v>
      </c>
      <c r="H310">
        <v>3</v>
      </c>
      <c r="I310">
        <v>12</v>
      </c>
      <c r="K310" t="str">
        <f t="shared" si="21"/>
        <v/>
      </c>
      <c r="L310" t="str">
        <f t="shared" si="22"/>
        <v>Active</v>
      </c>
      <c r="M310">
        <f t="shared" ca="1" si="23"/>
        <v>3489</v>
      </c>
      <c r="N310" t="str">
        <f t="shared" si="24"/>
        <v>30-39</v>
      </c>
      <c r="O310" t="str">
        <f t="shared" si="25"/>
        <v/>
      </c>
    </row>
    <row r="311" spans="1:15" x14ac:dyDescent="0.35">
      <c r="A311">
        <v>1310</v>
      </c>
      <c r="B311" t="s">
        <v>15</v>
      </c>
      <c r="C311" t="s">
        <v>14</v>
      </c>
      <c r="D311">
        <v>56</v>
      </c>
      <c r="E311" t="s">
        <v>12</v>
      </c>
      <c r="F311" s="1">
        <v>45211</v>
      </c>
      <c r="G311">
        <v>9099</v>
      </c>
      <c r="H311">
        <v>3</v>
      </c>
      <c r="I311">
        <v>16</v>
      </c>
      <c r="K311" t="str">
        <f t="shared" si="21"/>
        <v/>
      </c>
      <c r="L311" t="str">
        <f t="shared" si="22"/>
        <v>Active</v>
      </c>
      <c r="M311">
        <f t="shared" ca="1" si="23"/>
        <v>770</v>
      </c>
      <c r="N311" t="str">
        <f t="shared" si="24"/>
        <v>50+</v>
      </c>
      <c r="O311" t="str">
        <f t="shared" si="25"/>
        <v/>
      </c>
    </row>
    <row r="312" spans="1:15" x14ac:dyDescent="0.35">
      <c r="A312">
        <v>1311</v>
      </c>
      <c r="B312" t="s">
        <v>19</v>
      </c>
      <c r="C312" t="s">
        <v>11</v>
      </c>
      <c r="D312">
        <v>49</v>
      </c>
      <c r="E312" t="s">
        <v>12</v>
      </c>
      <c r="F312" s="1">
        <v>44807</v>
      </c>
      <c r="G312">
        <v>6631</v>
      </c>
      <c r="H312">
        <v>2</v>
      </c>
      <c r="I312">
        <v>9</v>
      </c>
      <c r="J312" s="1">
        <v>46194</v>
      </c>
      <c r="K312">
        <f t="shared" si="21"/>
        <v>46194</v>
      </c>
      <c r="L312" t="str">
        <f t="shared" si="22"/>
        <v>Exited</v>
      </c>
      <c r="M312">
        <f t="shared" ca="1" si="23"/>
        <v>1387</v>
      </c>
      <c r="N312" t="str">
        <f t="shared" si="24"/>
        <v>40-49</v>
      </c>
      <c r="O312" t="str">
        <f t="shared" si="25"/>
        <v/>
      </c>
    </row>
    <row r="313" spans="1:15" x14ac:dyDescent="0.35">
      <c r="A313">
        <v>1312</v>
      </c>
      <c r="B313" t="s">
        <v>10</v>
      </c>
      <c r="C313" t="s">
        <v>14</v>
      </c>
      <c r="D313">
        <v>28</v>
      </c>
      <c r="E313" t="s">
        <v>12</v>
      </c>
      <c r="F313" s="1">
        <v>44350</v>
      </c>
      <c r="G313">
        <v>4041</v>
      </c>
      <c r="H313">
        <v>3</v>
      </c>
      <c r="I313">
        <v>20</v>
      </c>
      <c r="K313" t="str">
        <f t="shared" si="21"/>
        <v/>
      </c>
      <c r="L313" t="str">
        <f t="shared" si="22"/>
        <v>Active</v>
      </c>
      <c r="M313">
        <f t="shared" ca="1" si="23"/>
        <v>1631</v>
      </c>
      <c r="N313" t="str">
        <f t="shared" si="24"/>
        <v>Under 30</v>
      </c>
      <c r="O313" t="str">
        <f t="shared" si="25"/>
        <v/>
      </c>
    </row>
    <row r="314" spans="1:15" x14ac:dyDescent="0.35">
      <c r="A314">
        <v>1313</v>
      </c>
      <c r="B314" t="s">
        <v>15</v>
      </c>
      <c r="C314" t="s">
        <v>14</v>
      </c>
      <c r="D314">
        <v>53</v>
      </c>
      <c r="E314" t="s">
        <v>12</v>
      </c>
      <c r="F314" s="1">
        <v>45231</v>
      </c>
      <c r="G314">
        <v>2989</v>
      </c>
      <c r="H314">
        <v>2</v>
      </c>
      <c r="I314">
        <v>11</v>
      </c>
      <c r="K314" t="str">
        <f t="shared" si="21"/>
        <v/>
      </c>
      <c r="L314" t="str">
        <f t="shared" si="22"/>
        <v>Active</v>
      </c>
      <c r="M314">
        <f t="shared" ca="1" si="23"/>
        <v>750</v>
      </c>
      <c r="N314" t="str">
        <f t="shared" si="24"/>
        <v>50+</v>
      </c>
      <c r="O314" t="str">
        <f t="shared" si="25"/>
        <v/>
      </c>
    </row>
    <row r="315" spans="1:15" x14ac:dyDescent="0.35">
      <c r="A315">
        <v>1314</v>
      </c>
      <c r="B315" t="s">
        <v>17</v>
      </c>
      <c r="C315" t="s">
        <v>20</v>
      </c>
      <c r="D315">
        <v>32</v>
      </c>
      <c r="E315" t="s">
        <v>12</v>
      </c>
      <c r="F315" s="1">
        <v>43412</v>
      </c>
      <c r="G315">
        <v>8336</v>
      </c>
      <c r="H315">
        <v>3</v>
      </c>
      <c r="I315">
        <v>14</v>
      </c>
      <c r="K315" t="str">
        <f t="shared" si="21"/>
        <v/>
      </c>
      <c r="L315" t="str">
        <f t="shared" si="22"/>
        <v>Active</v>
      </c>
      <c r="M315">
        <f t="shared" ca="1" si="23"/>
        <v>2569</v>
      </c>
      <c r="N315" t="str">
        <f t="shared" si="24"/>
        <v>30-39</v>
      </c>
      <c r="O315" t="str">
        <f t="shared" si="25"/>
        <v/>
      </c>
    </row>
    <row r="316" spans="1:15" x14ac:dyDescent="0.35">
      <c r="A316">
        <v>1315</v>
      </c>
      <c r="B316" t="s">
        <v>13</v>
      </c>
      <c r="C316" t="s">
        <v>14</v>
      </c>
      <c r="D316">
        <v>31</v>
      </c>
      <c r="E316" t="s">
        <v>12</v>
      </c>
      <c r="F316" s="1">
        <v>43122</v>
      </c>
      <c r="G316">
        <v>3780</v>
      </c>
      <c r="H316">
        <v>5</v>
      </c>
      <c r="I316">
        <v>20</v>
      </c>
      <c r="K316" t="str">
        <f t="shared" si="21"/>
        <v/>
      </c>
      <c r="L316" t="str">
        <f t="shared" si="22"/>
        <v>Active</v>
      </c>
      <c r="M316">
        <f t="shared" ca="1" si="23"/>
        <v>2859</v>
      </c>
      <c r="N316" t="str">
        <f t="shared" si="24"/>
        <v>30-39</v>
      </c>
      <c r="O316" t="str">
        <f t="shared" si="25"/>
        <v/>
      </c>
    </row>
    <row r="317" spans="1:15" x14ac:dyDescent="0.35">
      <c r="A317">
        <v>1316</v>
      </c>
      <c r="B317" t="s">
        <v>10</v>
      </c>
      <c r="C317" t="s">
        <v>11</v>
      </c>
      <c r="D317">
        <v>30</v>
      </c>
      <c r="E317" t="s">
        <v>12</v>
      </c>
      <c r="F317" s="1">
        <v>42032</v>
      </c>
      <c r="G317">
        <v>4498</v>
      </c>
      <c r="H317">
        <v>5</v>
      </c>
      <c r="I317">
        <v>9</v>
      </c>
      <c r="K317" t="str">
        <f t="shared" si="21"/>
        <v/>
      </c>
      <c r="L317" t="str">
        <f t="shared" si="22"/>
        <v>Active</v>
      </c>
      <c r="M317">
        <f t="shared" ca="1" si="23"/>
        <v>3949</v>
      </c>
      <c r="N317" t="str">
        <f t="shared" si="24"/>
        <v>30-39</v>
      </c>
      <c r="O317" t="str">
        <f t="shared" si="25"/>
        <v/>
      </c>
    </row>
    <row r="318" spans="1:15" x14ac:dyDescent="0.35">
      <c r="A318">
        <v>1317</v>
      </c>
      <c r="B318" t="s">
        <v>13</v>
      </c>
      <c r="C318" t="s">
        <v>11</v>
      </c>
      <c r="D318">
        <v>35</v>
      </c>
      <c r="E318" t="s">
        <v>12</v>
      </c>
      <c r="F318" s="1">
        <v>44600</v>
      </c>
      <c r="G318">
        <v>4515</v>
      </c>
      <c r="H318">
        <v>2</v>
      </c>
      <c r="I318">
        <v>13</v>
      </c>
      <c r="J318" s="1">
        <v>44882</v>
      </c>
      <c r="K318">
        <f t="shared" si="21"/>
        <v>44882</v>
      </c>
      <c r="L318" t="str">
        <f t="shared" si="22"/>
        <v>Exited</v>
      </c>
      <c r="M318">
        <f t="shared" ca="1" si="23"/>
        <v>282</v>
      </c>
      <c r="N318" t="str">
        <f t="shared" si="24"/>
        <v>30-39</v>
      </c>
      <c r="O318" t="str">
        <f t="shared" si="25"/>
        <v/>
      </c>
    </row>
    <row r="319" spans="1:15" x14ac:dyDescent="0.35">
      <c r="A319">
        <v>1318</v>
      </c>
      <c r="B319" t="s">
        <v>10</v>
      </c>
      <c r="C319" t="s">
        <v>14</v>
      </c>
      <c r="D319">
        <v>34</v>
      </c>
      <c r="E319" t="s">
        <v>12</v>
      </c>
      <c r="F319" s="1">
        <v>42989</v>
      </c>
      <c r="G319">
        <v>5393</v>
      </c>
      <c r="H319">
        <v>5</v>
      </c>
      <c r="I319">
        <v>12</v>
      </c>
      <c r="K319" t="str">
        <f t="shared" si="21"/>
        <v/>
      </c>
      <c r="L319" t="str">
        <f t="shared" si="22"/>
        <v>Active</v>
      </c>
      <c r="M319">
        <f t="shared" ca="1" si="23"/>
        <v>2992</v>
      </c>
      <c r="N319" t="str">
        <f t="shared" si="24"/>
        <v>30-39</v>
      </c>
      <c r="O319" t="str">
        <f t="shared" si="25"/>
        <v/>
      </c>
    </row>
    <row r="320" spans="1:15" x14ac:dyDescent="0.35">
      <c r="A320">
        <v>1319</v>
      </c>
      <c r="B320" t="s">
        <v>17</v>
      </c>
      <c r="C320" t="s">
        <v>11</v>
      </c>
      <c r="D320">
        <v>46</v>
      </c>
      <c r="E320" t="s">
        <v>21</v>
      </c>
      <c r="F320" s="1">
        <v>44264</v>
      </c>
      <c r="G320">
        <v>6936</v>
      </c>
      <c r="H320">
        <v>2</v>
      </c>
      <c r="I320">
        <v>4</v>
      </c>
      <c r="K320" t="str">
        <f t="shared" si="21"/>
        <v/>
      </c>
      <c r="L320" t="str">
        <f t="shared" si="22"/>
        <v>Active</v>
      </c>
      <c r="M320">
        <f t="shared" ca="1" si="23"/>
        <v>1717</v>
      </c>
      <c r="N320" t="str">
        <f t="shared" si="24"/>
        <v>40-49</v>
      </c>
      <c r="O320" t="str">
        <f t="shared" si="25"/>
        <v/>
      </c>
    </row>
    <row r="321" spans="1:15" x14ac:dyDescent="0.35">
      <c r="A321">
        <v>1320</v>
      </c>
      <c r="B321" t="s">
        <v>13</v>
      </c>
      <c r="C321" t="s">
        <v>11</v>
      </c>
      <c r="D321">
        <v>23</v>
      </c>
      <c r="E321" t="s">
        <v>12</v>
      </c>
      <c r="F321" s="1">
        <v>42374</v>
      </c>
      <c r="G321">
        <v>9250</v>
      </c>
      <c r="H321">
        <v>5</v>
      </c>
      <c r="I321">
        <v>5</v>
      </c>
      <c r="K321" t="str">
        <f t="shared" si="21"/>
        <v/>
      </c>
      <c r="L321" t="str">
        <f t="shared" si="22"/>
        <v>Active</v>
      </c>
      <c r="M321">
        <f t="shared" ca="1" si="23"/>
        <v>3607</v>
      </c>
      <c r="N321" t="str">
        <f t="shared" si="24"/>
        <v>Under 30</v>
      </c>
      <c r="O321" t="str">
        <f t="shared" si="25"/>
        <v/>
      </c>
    </row>
    <row r="322" spans="1:15" x14ac:dyDescent="0.35">
      <c r="A322">
        <v>1321</v>
      </c>
      <c r="B322" t="s">
        <v>16</v>
      </c>
      <c r="C322" t="s">
        <v>14</v>
      </c>
      <c r="D322">
        <v>56</v>
      </c>
      <c r="E322" t="s">
        <v>12</v>
      </c>
      <c r="F322" s="1">
        <v>42504</v>
      </c>
      <c r="G322">
        <v>7838</v>
      </c>
      <c r="H322">
        <v>5</v>
      </c>
      <c r="I322">
        <v>1</v>
      </c>
      <c r="K322" t="str">
        <f t="shared" si="21"/>
        <v/>
      </c>
      <c r="L322" t="str">
        <f t="shared" si="22"/>
        <v>Active</v>
      </c>
      <c r="M322">
        <f t="shared" ca="1" si="23"/>
        <v>3477</v>
      </c>
      <c r="N322" t="str">
        <f t="shared" si="24"/>
        <v>50+</v>
      </c>
      <c r="O322" t="str">
        <f t="shared" si="25"/>
        <v/>
      </c>
    </row>
    <row r="323" spans="1:15" x14ac:dyDescent="0.35">
      <c r="A323">
        <v>1322</v>
      </c>
      <c r="B323" t="s">
        <v>19</v>
      </c>
      <c r="C323" t="s">
        <v>11</v>
      </c>
      <c r="D323">
        <v>28</v>
      </c>
      <c r="E323" t="s">
        <v>12</v>
      </c>
      <c r="F323" s="1">
        <v>44405</v>
      </c>
      <c r="G323">
        <v>7233</v>
      </c>
      <c r="H323">
        <v>2</v>
      </c>
      <c r="I323">
        <v>16</v>
      </c>
      <c r="K323" t="str">
        <f t="shared" ref="K323:K351" si="26">IF(J323="", "", J323)</f>
        <v/>
      </c>
      <c r="L323" t="str">
        <f t="shared" ref="L323:L351" si="27">IF(J323="", "Active", "Exited")</f>
        <v>Active</v>
      </c>
      <c r="M323">
        <f t="shared" ref="M323:M351" ca="1" si="28">IF(L323="Active", TODAY()-F323, J323-F323)</f>
        <v>1576</v>
      </c>
      <c r="N323" t="str">
        <f t="shared" ref="N323:N351" si="29">IF(D323&lt;30,"Under 30",
IF(D323&lt;40,"30-39",
IF(D323&lt;50,"40-49","50+")))</f>
        <v>Under 30</v>
      </c>
      <c r="O323" t="str">
        <f t="shared" ref="O323:O351" si="30">IF(AND(J323&lt;&gt;"", F323&lt;&gt;"", J323&lt;F323), "Invalid Exit Date", "")</f>
        <v/>
      </c>
    </row>
    <row r="324" spans="1:15" x14ac:dyDescent="0.35">
      <c r="A324">
        <v>1323</v>
      </c>
      <c r="B324" t="s">
        <v>16</v>
      </c>
      <c r="C324" t="s">
        <v>11</v>
      </c>
      <c r="D324">
        <v>42</v>
      </c>
      <c r="E324" t="s">
        <v>12</v>
      </c>
      <c r="F324" s="1">
        <v>43985</v>
      </c>
      <c r="G324">
        <v>8233</v>
      </c>
      <c r="H324">
        <v>4</v>
      </c>
      <c r="I324">
        <v>3</v>
      </c>
      <c r="J324" s="1">
        <v>45858</v>
      </c>
      <c r="K324">
        <f t="shared" si="26"/>
        <v>45858</v>
      </c>
      <c r="L324" t="str">
        <f t="shared" si="27"/>
        <v>Exited</v>
      </c>
      <c r="M324">
        <f t="shared" ca="1" si="28"/>
        <v>1873</v>
      </c>
      <c r="N324" t="str">
        <f t="shared" si="29"/>
        <v>40-49</v>
      </c>
      <c r="O324" t="str">
        <f t="shared" si="30"/>
        <v/>
      </c>
    </row>
    <row r="325" spans="1:15" x14ac:dyDescent="0.35">
      <c r="A325">
        <v>1324</v>
      </c>
      <c r="B325" t="s">
        <v>15</v>
      </c>
      <c r="C325" t="s">
        <v>11</v>
      </c>
      <c r="D325">
        <v>39</v>
      </c>
      <c r="E325" t="s">
        <v>12</v>
      </c>
      <c r="F325" s="1">
        <v>43090</v>
      </c>
      <c r="G325">
        <v>3898</v>
      </c>
      <c r="H325">
        <v>5</v>
      </c>
      <c r="I325">
        <v>13</v>
      </c>
      <c r="K325" t="str">
        <f t="shared" si="26"/>
        <v/>
      </c>
      <c r="L325" t="str">
        <f t="shared" si="27"/>
        <v>Active</v>
      </c>
      <c r="M325">
        <f t="shared" ca="1" si="28"/>
        <v>2891</v>
      </c>
      <c r="N325" t="str">
        <f t="shared" si="29"/>
        <v>30-39</v>
      </c>
      <c r="O325" t="str">
        <f t="shared" si="30"/>
        <v/>
      </c>
    </row>
    <row r="326" spans="1:15" x14ac:dyDescent="0.35">
      <c r="A326">
        <v>1325</v>
      </c>
      <c r="B326" t="s">
        <v>17</v>
      </c>
      <c r="C326" t="s">
        <v>11</v>
      </c>
      <c r="D326">
        <v>24</v>
      </c>
      <c r="E326" t="s">
        <v>12</v>
      </c>
      <c r="F326" s="1">
        <v>44931</v>
      </c>
      <c r="G326">
        <v>5126</v>
      </c>
      <c r="H326">
        <v>3</v>
      </c>
      <c r="I326">
        <v>9</v>
      </c>
      <c r="K326" t="str">
        <f t="shared" si="26"/>
        <v/>
      </c>
      <c r="L326" t="str">
        <f t="shared" si="27"/>
        <v>Active</v>
      </c>
      <c r="M326">
        <f t="shared" ca="1" si="28"/>
        <v>1050</v>
      </c>
      <c r="N326" t="str">
        <f t="shared" si="29"/>
        <v>Under 30</v>
      </c>
      <c r="O326" t="str">
        <f t="shared" si="30"/>
        <v/>
      </c>
    </row>
    <row r="327" spans="1:15" x14ac:dyDescent="0.35">
      <c r="A327">
        <v>1326</v>
      </c>
      <c r="B327" t="s">
        <v>16</v>
      </c>
      <c r="C327" t="s">
        <v>14</v>
      </c>
      <c r="D327">
        <v>60</v>
      </c>
      <c r="E327" t="s">
        <v>12</v>
      </c>
      <c r="F327" s="1">
        <v>43956</v>
      </c>
      <c r="G327">
        <v>6047</v>
      </c>
      <c r="H327">
        <v>4</v>
      </c>
      <c r="I327">
        <v>2</v>
      </c>
      <c r="J327" s="1">
        <v>45599</v>
      </c>
      <c r="K327">
        <f t="shared" si="26"/>
        <v>45599</v>
      </c>
      <c r="L327" t="str">
        <f t="shared" si="27"/>
        <v>Exited</v>
      </c>
      <c r="M327">
        <f t="shared" ca="1" si="28"/>
        <v>1643</v>
      </c>
      <c r="N327" t="str">
        <f t="shared" si="29"/>
        <v>50+</v>
      </c>
      <c r="O327" t="str">
        <f t="shared" si="30"/>
        <v/>
      </c>
    </row>
    <row r="328" spans="1:15" x14ac:dyDescent="0.35">
      <c r="A328">
        <v>1327</v>
      </c>
      <c r="B328" t="s">
        <v>10</v>
      </c>
      <c r="C328" t="s">
        <v>11</v>
      </c>
      <c r="D328">
        <v>32</v>
      </c>
      <c r="E328" t="s">
        <v>12</v>
      </c>
      <c r="F328" s="1">
        <v>43970</v>
      </c>
      <c r="G328">
        <v>3695</v>
      </c>
      <c r="H328">
        <v>2</v>
      </c>
      <c r="I328">
        <v>2</v>
      </c>
      <c r="K328" t="str">
        <f t="shared" si="26"/>
        <v/>
      </c>
      <c r="L328" t="str">
        <f t="shared" si="27"/>
        <v>Active</v>
      </c>
      <c r="M328">
        <f t="shared" ca="1" si="28"/>
        <v>2011</v>
      </c>
      <c r="N328" t="str">
        <f t="shared" si="29"/>
        <v>30-39</v>
      </c>
      <c r="O328" t="str">
        <f t="shared" si="30"/>
        <v/>
      </c>
    </row>
    <row r="329" spans="1:15" x14ac:dyDescent="0.35">
      <c r="A329">
        <v>1328</v>
      </c>
      <c r="B329" t="s">
        <v>15</v>
      </c>
      <c r="C329" t="s">
        <v>11</v>
      </c>
      <c r="D329">
        <v>60</v>
      </c>
      <c r="E329" t="s">
        <v>12</v>
      </c>
      <c r="F329" s="1">
        <v>42182</v>
      </c>
      <c r="G329">
        <v>9216</v>
      </c>
      <c r="H329">
        <v>4</v>
      </c>
      <c r="I329">
        <v>14</v>
      </c>
      <c r="K329" t="str">
        <f t="shared" si="26"/>
        <v/>
      </c>
      <c r="L329" t="str">
        <f t="shared" si="27"/>
        <v>Active</v>
      </c>
      <c r="M329">
        <f t="shared" ca="1" si="28"/>
        <v>3799</v>
      </c>
      <c r="N329" t="str">
        <f t="shared" si="29"/>
        <v>50+</v>
      </c>
      <c r="O329" t="str">
        <f t="shared" si="30"/>
        <v/>
      </c>
    </row>
    <row r="330" spans="1:15" x14ac:dyDescent="0.35">
      <c r="A330">
        <v>1329</v>
      </c>
      <c r="B330" t="s">
        <v>15</v>
      </c>
      <c r="C330" t="s">
        <v>11</v>
      </c>
      <c r="D330">
        <v>45</v>
      </c>
      <c r="E330" t="s">
        <v>12</v>
      </c>
      <c r="F330" s="1">
        <v>43173</v>
      </c>
      <c r="G330">
        <v>4474</v>
      </c>
      <c r="H330">
        <v>1</v>
      </c>
      <c r="I330">
        <v>5</v>
      </c>
      <c r="K330" t="str">
        <f t="shared" si="26"/>
        <v/>
      </c>
      <c r="L330" t="str">
        <f t="shared" si="27"/>
        <v>Active</v>
      </c>
      <c r="M330">
        <f t="shared" ca="1" si="28"/>
        <v>2808</v>
      </c>
      <c r="N330" t="str">
        <f t="shared" si="29"/>
        <v>40-49</v>
      </c>
      <c r="O330" t="str">
        <f t="shared" si="30"/>
        <v/>
      </c>
    </row>
    <row r="331" spans="1:15" x14ac:dyDescent="0.35">
      <c r="A331">
        <v>1330</v>
      </c>
      <c r="B331" t="s">
        <v>16</v>
      </c>
      <c r="C331" t="s">
        <v>11</v>
      </c>
      <c r="D331">
        <v>40</v>
      </c>
      <c r="E331" t="s">
        <v>12</v>
      </c>
      <c r="F331" s="1">
        <v>43977</v>
      </c>
      <c r="G331">
        <v>5709</v>
      </c>
      <c r="H331">
        <v>1</v>
      </c>
      <c r="I331">
        <v>16</v>
      </c>
      <c r="K331" t="str">
        <f t="shared" si="26"/>
        <v/>
      </c>
      <c r="L331" t="str">
        <f t="shared" si="27"/>
        <v>Active</v>
      </c>
      <c r="M331">
        <f t="shared" ca="1" si="28"/>
        <v>2004</v>
      </c>
      <c r="N331" t="str">
        <f t="shared" si="29"/>
        <v>40-49</v>
      </c>
      <c r="O331" t="str">
        <f t="shared" si="30"/>
        <v/>
      </c>
    </row>
    <row r="332" spans="1:15" x14ac:dyDescent="0.35">
      <c r="A332">
        <v>1331</v>
      </c>
      <c r="B332" t="s">
        <v>16</v>
      </c>
      <c r="C332" t="s">
        <v>11</v>
      </c>
      <c r="D332">
        <v>25</v>
      </c>
      <c r="E332" t="s">
        <v>12</v>
      </c>
      <c r="F332" s="1">
        <v>44016</v>
      </c>
      <c r="G332">
        <v>3730</v>
      </c>
      <c r="H332">
        <v>5</v>
      </c>
      <c r="I332">
        <v>11</v>
      </c>
      <c r="J332" s="1">
        <v>45312</v>
      </c>
      <c r="K332">
        <f t="shared" si="26"/>
        <v>45312</v>
      </c>
      <c r="L332" t="str">
        <f t="shared" si="27"/>
        <v>Exited</v>
      </c>
      <c r="M332">
        <f t="shared" ca="1" si="28"/>
        <v>1296</v>
      </c>
      <c r="N332" t="str">
        <f t="shared" si="29"/>
        <v>Under 30</v>
      </c>
      <c r="O332" t="str">
        <f t="shared" si="30"/>
        <v/>
      </c>
    </row>
    <row r="333" spans="1:15" x14ac:dyDescent="0.35">
      <c r="A333">
        <v>1332</v>
      </c>
      <c r="B333" t="s">
        <v>17</v>
      </c>
      <c r="C333" t="s">
        <v>11</v>
      </c>
      <c r="D333">
        <v>47</v>
      </c>
      <c r="E333" t="s">
        <v>12</v>
      </c>
      <c r="F333" s="1">
        <v>43610</v>
      </c>
      <c r="G333">
        <v>7184</v>
      </c>
      <c r="H333">
        <v>5</v>
      </c>
      <c r="I333">
        <v>19</v>
      </c>
      <c r="K333" t="str">
        <f t="shared" si="26"/>
        <v/>
      </c>
      <c r="L333" t="str">
        <f t="shared" si="27"/>
        <v>Active</v>
      </c>
      <c r="M333">
        <f t="shared" ca="1" si="28"/>
        <v>2371</v>
      </c>
      <c r="N333" t="str">
        <f t="shared" si="29"/>
        <v>40-49</v>
      </c>
      <c r="O333" t="str">
        <f t="shared" si="30"/>
        <v/>
      </c>
    </row>
    <row r="334" spans="1:15" x14ac:dyDescent="0.35">
      <c r="A334">
        <v>1333</v>
      </c>
      <c r="B334" t="s">
        <v>19</v>
      </c>
      <c r="C334" t="s">
        <v>11</v>
      </c>
      <c r="D334">
        <v>59</v>
      </c>
      <c r="E334" t="s">
        <v>12</v>
      </c>
      <c r="F334" s="1">
        <v>42137</v>
      </c>
      <c r="G334">
        <v>3523</v>
      </c>
      <c r="H334">
        <v>3</v>
      </c>
      <c r="I334">
        <v>10</v>
      </c>
      <c r="J334" s="1">
        <v>43597</v>
      </c>
      <c r="K334">
        <f t="shared" si="26"/>
        <v>43597</v>
      </c>
      <c r="L334" t="str">
        <f t="shared" si="27"/>
        <v>Exited</v>
      </c>
      <c r="M334">
        <f t="shared" ca="1" si="28"/>
        <v>1460</v>
      </c>
      <c r="N334" t="str">
        <f t="shared" si="29"/>
        <v>50+</v>
      </c>
      <c r="O334" t="str">
        <f t="shared" si="30"/>
        <v/>
      </c>
    </row>
    <row r="335" spans="1:15" x14ac:dyDescent="0.35">
      <c r="A335">
        <v>1334</v>
      </c>
      <c r="B335" t="s">
        <v>16</v>
      </c>
      <c r="C335" t="s">
        <v>11</v>
      </c>
      <c r="D335">
        <v>53</v>
      </c>
      <c r="E335" t="s">
        <v>12</v>
      </c>
      <c r="F335" s="1">
        <v>44691</v>
      </c>
      <c r="G335">
        <v>5740</v>
      </c>
      <c r="H335">
        <v>4</v>
      </c>
      <c r="I335">
        <v>3</v>
      </c>
      <c r="K335" t="str">
        <f t="shared" si="26"/>
        <v/>
      </c>
      <c r="L335" t="str">
        <f t="shared" si="27"/>
        <v>Active</v>
      </c>
      <c r="M335">
        <f t="shared" ca="1" si="28"/>
        <v>1290</v>
      </c>
      <c r="N335" t="str">
        <f t="shared" si="29"/>
        <v>50+</v>
      </c>
      <c r="O335" t="str">
        <f t="shared" si="30"/>
        <v/>
      </c>
    </row>
    <row r="336" spans="1:15" x14ac:dyDescent="0.35">
      <c r="A336">
        <v>1335</v>
      </c>
      <c r="B336" t="s">
        <v>16</v>
      </c>
      <c r="C336" t="s">
        <v>11</v>
      </c>
      <c r="D336">
        <v>60</v>
      </c>
      <c r="E336" t="s">
        <v>18</v>
      </c>
      <c r="F336" s="1">
        <v>43763</v>
      </c>
      <c r="G336">
        <v>9215</v>
      </c>
      <c r="H336">
        <v>1</v>
      </c>
      <c r="I336">
        <v>5</v>
      </c>
      <c r="J336" s="1">
        <v>44008</v>
      </c>
      <c r="K336">
        <f t="shared" si="26"/>
        <v>44008</v>
      </c>
      <c r="L336" t="str">
        <f t="shared" si="27"/>
        <v>Exited</v>
      </c>
      <c r="M336">
        <f t="shared" ca="1" si="28"/>
        <v>245</v>
      </c>
      <c r="N336" t="str">
        <f t="shared" si="29"/>
        <v>50+</v>
      </c>
      <c r="O336" t="str">
        <f t="shared" si="30"/>
        <v/>
      </c>
    </row>
    <row r="337" spans="1:15" x14ac:dyDescent="0.35">
      <c r="A337">
        <v>1336</v>
      </c>
      <c r="B337" t="s">
        <v>13</v>
      </c>
      <c r="C337" t="s">
        <v>11</v>
      </c>
      <c r="D337">
        <v>57</v>
      </c>
      <c r="E337" t="s">
        <v>12</v>
      </c>
      <c r="F337" s="1">
        <v>43756</v>
      </c>
      <c r="G337">
        <v>8849</v>
      </c>
      <c r="H337">
        <v>5</v>
      </c>
      <c r="I337">
        <v>0</v>
      </c>
      <c r="K337" t="str">
        <f t="shared" si="26"/>
        <v/>
      </c>
      <c r="L337" t="str">
        <f t="shared" si="27"/>
        <v>Active</v>
      </c>
      <c r="M337">
        <f t="shared" ca="1" si="28"/>
        <v>2225</v>
      </c>
      <c r="N337" t="str">
        <f t="shared" si="29"/>
        <v>50+</v>
      </c>
      <c r="O337" t="str">
        <f t="shared" si="30"/>
        <v/>
      </c>
    </row>
    <row r="338" spans="1:15" x14ac:dyDescent="0.35">
      <c r="A338">
        <v>1337</v>
      </c>
      <c r="B338" t="s">
        <v>10</v>
      </c>
      <c r="C338" t="s">
        <v>11</v>
      </c>
      <c r="D338">
        <v>58</v>
      </c>
      <c r="E338" t="s">
        <v>21</v>
      </c>
      <c r="F338" s="1">
        <v>44263</v>
      </c>
      <c r="G338">
        <v>3889</v>
      </c>
      <c r="H338">
        <v>4</v>
      </c>
      <c r="I338">
        <v>19</v>
      </c>
      <c r="K338" t="str">
        <f t="shared" si="26"/>
        <v/>
      </c>
      <c r="L338" t="str">
        <f t="shared" si="27"/>
        <v>Active</v>
      </c>
      <c r="M338">
        <f t="shared" ca="1" si="28"/>
        <v>1718</v>
      </c>
      <c r="N338" t="str">
        <f t="shared" si="29"/>
        <v>50+</v>
      </c>
      <c r="O338" t="str">
        <f t="shared" si="30"/>
        <v/>
      </c>
    </row>
    <row r="339" spans="1:15" x14ac:dyDescent="0.35">
      <c r="A339">
        <v>1338</v>
      </c>
      <c r="B339" t="s">
        <v>13</v>
      </c>
      <c r="C339" t="s">
        <v>14</v>
      </c>
      <c r="D339">
        <v>54</v>
      </c>
      <c r="E339" t="s">
        <v>12</v>
      </c>
      <c r="F339" s="1">
        <v>43108</v>
      </c>
      <c r="G339">
        <v>7378</v>
      </c>
      <c r="H339">
        <v>5</v>
      </c>
      <c r="I339">
        <v>15</v>
      </c>
      <c r="K339" t="str">
        <f t="shared" si="26"/>
        <v/>
      </c>
      <c r="L339" t="str">
        <f t="shared" si="27"/>
        <v>Active</v>
      </c>
      <c r="M339">
        <f t="shared" ca="1" si="28"/>
        <v>2873</v>
      </c>
      <c r="N339" t="str">
        <f t="shared" si="29"/>
        <v>50+</v>
      </c>
      <c r="O339" t="str">
        <f t="shared" si="30"/>
        <v/>
      </c>
    </row>
    <row r="340" spans="1:15" x14ac:dyDescent="0.35">
      <c r="A340">
        <v>1339</v>
      </c>
      <c r="B340" t="s">
        <v>13</v>
      </c>
      <c r="C340" t="s">
        <v>14</v>
      </c>
      <c r="D340">
        <v>57</v>
      </c>
      <c r="E340" t="s">
        <v>12</v>
      </c>
      <c r="F340" s="1">
        <v>43958</v>
      </c>
      <c r="G340">
        <v>3735</v>
      </c>
      <c r="H340">
        <v>5</v>
      </c>
      <c r="I340">
        <v>14</v>
      </c>
      <c r="K340" t="str">
        <f t="shared" si="26"/>
        <v/>
      </c>
      <c r="L340" t="str">
        <f t="shared" si="27"/>
        <v>Active</v>
      </c>
      <c r="M340">
        <f t="shared" ca="1" si="28"/>
        <v>2023</v>
      </c>
      <c r="N340" t="str">
        <f t="shared" si="29"/>
        <v>50+</v>
      </c>
      <c r="O340" t="str">
        <f t="shared" si="30"/>
        <v/>
      </c>
    </row>
    <row r="341" spans="1:15" x14ac:dyDescent="0.35">
      <c r="A341">
        <v>1340</v>
      </c>
      <c r="B341" t="s">
        <v>15</v>
      </c>
      <c r="C341" t="s">
        <v>14</v>
      </c>
      <c r="D341">
        <v>24</v>
      </c>
      <c r="E341" t="s">
        <v>12</v>
      </c>
      <c r="F341" s="1">
        <v>43351</v>
      </c>
      <c r="G341">
        <v>5095</v>
      </c>
      <c r="H341">
        <v>1</v>
      </c>
      <c r="I341">
        <v>16</v>
      </c>
      <c r="K341" t="str">
        <f t="shared" si="26"/>
        <v/>
      </c>
      <c r="L341" t="str">
        <f t="shared" si="27"/>
        <v>Active</v>
      </c>
      <c r="M341">
        <f t="shared" ca="1" si="28"/>
        <v>2630</v>
      </c>
      <c r="N341" t="str">
        <f t="shared" si="29"/>
        <v>Under 30</v>
      </c>
      <c r="O341" t="str">
        <f t="shared" si="30"/>
        <v/>
      </c>
    </row>
    <row r="342" spans="1:15" x14ac:dyDescent="0.35">
      <c r="A342">
        <v>1341</v>
      </c>
      <c r="B342" t="s">
        <v>19</v>
      </c>
      <c r="C342" t="s">
        <v>11</v>
      </c>
      <c r="D342">
        <v>30</v>
      </c>
      <c r="E342" t="s">
        <v>12</v>
      </c>
      <c r="F342" s="1">
        <v>42749</v>
      </c>
      <c r="G342">
        <v>2955</v>
      </c>
      <c r="H342">
        <v>1</v>
      </c>
      <c r="I342">
        <v>7</v>
      </c>
      <c r="K342" t="str">
        <f t="shared" si="26"/>
        <v/>
      </c>
      <c r="L342" t="str">
        <f t="shared" si="27"/>
        <v>Active</v>
      </c>
      <c r="M342">
        <f t="shared" ca="1" si="28"/>
        <v>3232</v>
      </c>
      <c r="N342" t="str">
        <f t="shared" si="29"/>
        <v>30-39</v>
      </c>
      <c r="O342" t="str">
        <f t="shared" si="30"/>
        <v/>
      </c>
    </row>
    <row r="343" spans="1:15" x14ac:dyDescent="0.35">
      <c r="A343">
        <v>1342</v>
      </c>
      <c r="B343" t="s">
        <v>10</v>
      </c>
      <c r="C343" t="s">
        <v>11</v>
      </c>
      <c r="D343">
        <v>29</v>
      </c>
      <c r="E343" t="s">
        <v>12</v>
      </c>
      <c r="F343" s="1">
        <v>44274</v>
      </c>
      <c r="G343">
        <v>3870</v>
      </c>
      <c r="H343">
        <v>5</v>
      </c>
      <c r="I343">
        <v>11</v>
      </c>
      <c r="K343" t="str">
        <f t="shared" si="26"/>
        <v/>
      </c>
      <c r="L343" t="str">
        <f t="shared" si="27"/>
        <v>Active</v>
      </c>
      <c r="M343">
        <f t="shared" ca="1" si="28"/>
        <v>1707</v>
      </c>
      <c r="N343" t="str">
        <f t="shared" si="29"/>
        <v>Under 30</v>
      </c>
      <c r="O343" t="str">
        <f t="shared" si="30"/>
        <v/>
      </c>
    </row>
    <row r="344" spans="1:15" x14ac:dyDescent="0.35">
      <c r="A344">
        <v>1343</v>
      </c>
      <c r="B344" t="s">
        <v>17</v>
      </c>
      <c r="C344" t="s">
        <v>11</v>
      </c>
      <c r="D344">
        <v>54</v>
      </c>
      <c r="E344" t="s">
        <v>12</v>
      </c>
      <c r="F344" s="1">
        <v>44657</v>
      </c>
      <c r="G344">
        <v>4758</v>
      </c>
      <c r="H344">
        <v>2</v>
      </c>
      <c r="I344">
        <v>20</v>
      </c>
      <c r="K344" t="str">
        <f t="shared" si="26"/>
        <v/>
      </c>
      <c r="L344" t="str">
        <f t="shared" si="27"/>
        <v>Active</v>
      </c>
      <c r="M344">
        <f t="shared" ca="1" si="28"/>
        <v>1324</v>
      </c>
      <c r="N344" t="str">
        <f t="shared" si="29"/>
        <v>50+</v>
      </c>
      <c r="O344" t="str">
        <f t="shared" si="30"/>
        <v/>
      </c>
    </row>
    <row r="345" spans="1:15" x14ac:dyDescent="0.35">
      <c r="A345">
        <v>1344</v>
      </c>
      <c r="B345" t="s">
        <v>17</v>
      </c>
      <c r="C345" t="s">
        <v>14</v>
      </c>
      <c r="D345">
        <v>27</v>
      </c>
      <c r="E345" t="s">
        <v>12</v>
      </c>
      <c r="F345" s="1">
        <v>43101</v>
      </c>
      <c r="G345">
        <v>5301</v>
      </c>
      <c r="H345">
        <v>5</v>
      </c>
      <c r="I345">
        <v>9</v>
      </c>
      <c r="K345" t="str">
        <f t="shared" si="26"/>
        <v/>
      </c>
      <c r="L345" t="str">
        <f t="shared" si="27"/>
        <v>Active</v>
      </c>
      <c r="M345">
        <f t="shared" ca="1" si="28"/>
        <v>2880</v>
      </c>
      <c r="N345" t="str">
        <f t="shared" si="29"/>
        <v>Under 30</v>
      </c>
      <c r="O345" t="str">
        <f t="shared" si="30"/>
        <v/>
      </c>
    </row>
    <row r="346" spans="1:15" x14ac:dyDescent="0.35">
      <c r="A346">
        <v>1345</v>
      </c>
      <c r="B346" t="s">
        <v>16</v>
      </c>
      <c r="C346" t="s">
        <v>11</v>
      </c>
      <c r="D346">
        <v>60</v>
      </c>
      <c r="E346" t="s">
        <v>21</v>
      </c>
      <c r="F346" s="1">
        <v>42392</v>
      </c>
      <c r="G346">
        <v>9144</v>
      </c>
      <c r="H346">
        <v>5</v>
      </c>
      <c r="I346">
        <v>14</v>
      </c>
      <c r="K346" t="str">
        <f t="shared" si="26"/>
        <v/>
      </c>
      <c r="L346" t="str">
        <f t="shared" si="27"/>
        <v>Active</v>
      </c>
      <c r="M346">
        <f t="shared" ca="1" si="28"/>
        <v>3589</v>
      </c>
      <c r="N346" t="str">
        <f t="shared" si="29"/>
        <v>50+</v>
      </c>
      <c r="O346" t="str">
        <f t="shared" si="30"/>
        <v/>
      </c>
    </row>
    <row r="347" spans="1:15" x14ac:dyDescent="0.35">
      <c r="A347">
        <v>1346</v>
      </c>
      <c r="B347" t="s">
        <v>16</v>
      </c>
      <c r="C347" t="s">
        <v>14</v>
      </c>
      <c r="D347">
        <v>25</v>
      </c>
      <c r="E347" t="s">
        <v>21</v>
      </c>
      <c r="F347" s="1">
        <v>42962</v>
      </c>
      <c r="G347">
        <v>8579</v>
      </c>
      <c r="H347">
        <v>3</v>
      </c>
      <c r="I347">
        <v>8</v>
      </c>
      <c r="K347" t="str">
        <f t="shared" si="26"/>
        <v/>
      </c>
      <c r="L347" t="str">
        <f t="shared" si="27"/>
        <v>Active</v>
      </c>
      <c r="M347">
        <f t="shared" ca="1" si="28"/>
        <v>3019</v>
      </c>
      <c r="N347" t="str">
        <f t="shared" si="29"/>
        <v>Under 30</v>
      </c>
      <c r="O347" t="str">
        <f t="shared" si="30"/>
        <v/>
      </c>
    </row>
    <row r="348" spans="1:15" x14ac:dyDescent="0.35">
      <c r="A348">
        <v>1347</v>
      </c>
      <c r="B348" t="s">
        <v>17</v>
      </c>
      <c r="C348" t="s">
        <v>14</v>
      </c>
      <c r="D348">
        <v>34</v>
      </c>
      <c r="E348" t="s">
        <v>12</v>
      </c>
      <c r="F348" s="1">
        <v>42036</v>
      </c>
      <c r="G348">
        <v>7019</v>
      </c>
      <c r="H348">
        <v>3</v>
      </c>
      <c r="I348">
        <v>1</v>
      </c>
      <c r="K348" t="str">
        <f t="shared" si="26"/>
        <v/>
      </c>
      <c r="L348" t="str">
        <f t="shared" si="27"/>
        <v>Active</v>
      </c>
      <c r="M348">
        <f t="shared" ca="1" si="28"/>
        <v>3945</v>
      </c>
      <c r="N348" t="str">
        <f t="shared" si="29"/>
        <v>30-39</v>
      </c>
      <c r="O348" t="str">
        <f t="shared" si="30"/>
        <v/>
      </c>
    </row>
    <row r="349" spans="1:15" x14ac:dyDescent="0.35">
      <c r="A349">
        <v>1348</v>
      </c>
      <c r="B349" t="s">
        <v>16</v>
      </c>
      <c r="C349" t="s">
        <v>11</v>
      </c>
      <c r="D349">
        <v>23</v>
      </c>
      <c r="E349" t="s">
        <v>12</v>
      </c>
      <c r="F349" s="1">
        <v>44920</v>
      </c>
      <c r="G349">
        <v>8944</v>
      </c>
      <c r="H349">
        <v>3</v>
      </c>
      <c r="I349">
        <v>4</v>
      </c>
      <c r="K349" t="str">
        <f t="shared" si="26"/>
        <v/>
      </c>
      <c r="L349" t="str">
        <f t="shared" si="27"/>
        <v>Active</v>
      </c>
      <c r="M349">
        <f t="shared" ca="1" si="28"/>
        <v>1061</v>
      </c>
      <c r="N349" t="str">
        <f t="shared" si="29"/>
        <v>Under 30</v>
      </c>
      <c r="O349" t="str">
        <f t="shared" si="30"/>
        <v/>
      </c>
    </row>
    <row r="350" spans="1:15" x14ac:dyDescent="0.35">
      <c r="A350">
        <v>1349</v>
      </c>
      <c r="B350" t="s">
        <v>19</v>
      </c>
      <c r="C350" t="s">
        <v>11</v>
      </c>
      <c r="D350">
        <v>26</v>
      </c>
      <c r="E350" t="s">
        <v>12</v>
      </c>
      <c r="F350" s="1">
        <v>42964</v>
      </c>
      <c r="G350">
        <v>7863</v>
      </c>
      <c r="H350">
        <v>2</v>
      </c>
      <c r="I350">
        <v>5</v>
      </c>
      <c r="K350" t="str">
        <f t="shared" si="26"/>
        <v/>
      </c>
      <c r="L350" t="str">
        <f t="shared" si="27"/>
        <v>Active</v>
      </c>
      <c r="M350">
        <f t="shared" ca="1" si="28"/>
        <v>3017</v>
      </c>
      <c r="N350" t="str">
        <f t="shared" si="29"/>
        <v>Under 30</v>
      </c>
      <c r="O350" t="str">
        <f t="shared" si="30"/>
        <v/>
      </c>
    </row>
    <row r="351" spans="1:15" x14ac:dyDescent="0.35">
      <c r="A351">
        <v>1350</v>
      </c>
      <c r="B351" t="s">
        <v>13</v>
      </c>
      <c r="C351" t="s">
        <v>14</v>
      </c>
      <c r="D351">
        <v>48</v>
      </c>
      <c r="E351" t="s">
        <v>12</v>
      </c>
      <c r="F351" s="1">
        <v>44378</v>
      </c>
      <c r="G351">
        <v>6630</v>
      </c>
      <c r="H351">
        <v>2</v>
      </c>
      <c r="I351">
        <v>6</v>
      </c>
      <c r="J351" s="1">
        <v>45195</v>
      </c>
      <c r="K351">
        <f t="shared" si="26"/>
        <v>45195</v>
      </c>
      <c r="L351" t="str">
        <f t="shared" si="27"/>
        <v>Exited</v>
      </c>
      <c r="M351">
        <f t="shared" ca="1" si="28"/>
        <v>817</v>
      </c>
      <c r="N351" t="str">
        <f t="shared" si="29"/>
        <v>40-49</v>
      </c>
      <c r="O351" t="str">
        <f t="shared" si="30"/>
        <v/>
      </c>
    </row>
    <row r="352" spans="1:15" x14ac:dyDescent="0.35">
      <c r="O352" t="str">
        <f t="shared" ref="O352" si="31">IF(AND(J352&lt;&gt;"", F352&lt;&gt;"", J352&lt;F352), "Invalid Exit Date", "")</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pivot_status_summary</vt:lpstr>
      <vt:lpstr>Dashboard</vt:lpstr>
      <vt:lpstr>pivot_headcount_department</vt:lpstr>
      <vt:lpstr>pivot_department_status</vt:lpstr>
      <vt:lpstr>pivot_avg_Tenure_department</vt:lpstr>
      <vt:lpstr>pivot_avg_salary_department</vt:lpstr>
      <vt:lpstr>hr_workforce_dataset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Moorche</cp:lastModifiedBy>
  <dcterms:created xsi:type="dcterms:W3CDTF">2025-11-20T15:14:43Z</dcterms:created>
  <dcterms:modified xsi:type="dcterms:W3CDTF">2025-11-20T15:53:19Z</dcterms:modified>
</cp:coreProperties>
</file>